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Credit Risk Data" sheetId="3" state="visible" r:id="rId5"/>
    <sheet name="Segmentation Data" sheetId="4" state="visible" r:id="rId6"/>
    <sheet name="Segment Stats" sheetId="5" state="visible" r:id="rId7"/>
    <sheet name="Risk Analysis" sheetId="6" state="visible" r:id="rId8"/>
    <sheet name="Model Performance" sheetId="7" state="visible" r:id="rId9"/>
    <sheet name="Portfol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<sst xmlns="http://schemas.openxmlformats.org/spreadsheetml/2006/main" count="1207" uniqueCount="571">
  <si>
    <t xml:space="preserve">FINTECH ANALYTICS PLATFORM — CredIntel</t>
  </si>
  <si>
    <t xml:space="preserve">Every figure below is a live formula on the datasets in this workbook (n=200 credit records, n=200 user records, both simulated).</t>
  </si>
  <si>
    <t xml:space="preserve">MODEL ACCURACY (TEST)</t>
  </si>
  <si>
    <t xml:space="preserve">TOTAL USERS</t>
  </si>
  <si>
    <t xml:space="preserve">REVENUE DRIVER</t>
  </si>
  <si>
    <t xml:space="preserve">DEFAULT RATE</t>
  </si>
  <si>
    <t xml:space="preserve">Logistic regression</t>
  </si>
  <si>
    <t xml:space="preserve">Rule-based segments</t>
  </si>
  <si>
    <t xml:space="preserve">Share of spend: High Spenders</t>
  </si>
  <si>
    <t xml:space="preserve">Credit dataset (n=200)</t>
  </si>
  <si>
    <t xml:space="preserve">Credit metric</t>
  </si>
  <si>
    <t xml:space="preserve">Value</t>
  </si>
  <si>
    <t xml:space="preserve">Note</t>
  </si>
  <si>
    <t xml:space="preserve">Segment</t>
  </si>
  <si>
    <t xml:space="preserve">Users</t>
  </si>
  <si>
    <t xml:space="preserve">Avg Spend/mo</t>
  </si>
  <si>
    <t xml:space="preserve">% Share</t>
  </si>
  <si>
    <t xml:space="preserve">Accuracy</t>
  </si>
  <si>
    <t xml:space="preserve">Hold-out test</t>
  </si>
  <si>
    <t xml:space="preserve">Precision</t>
  </si>
  <si>
    <t xml:space="preserve">Default class</t>
  </si>
  <si>
    <t xml:space="preserve">Recall</t>
  </si>
  <si>
    <t xml:space="preserve">F1</t>
  </si>
  <si>
    <t xml:space="preserve">AUC-ROC</t>
  </si>
  <si>
    <t xml:space="preserve">60 test rows — indicative</t>
  </si>
  <si>
    <t xml:space="preserve">Loans</t>
  </si>
  <si>
    <t xml:space="preserve">Active users (≥ threshold logins)</t>
  </si>
  <si>
    <t xml:space="preserve">Total disbursed (INR)</t>
  </si>
  <si>
    <t xml:space="preserve">Active %</t>
  </si>
  <si>
    <t xml:space="preserve">NPA exposure (INR)</t>
  </si>
  <si>
    <t xml:space="preserve">Net P&amp;L (INR, illustrative)</t>
  </si>
  <si>
    <t xml:space="preserve">Interest − NPA</t>
  </si>
  <si>
    <t xml:space="preserve">ASSUMPTIONS &amp; THRESHOLDS</t>
  </si>
  <si>
    <t xml:space="preserve">Blue = editable input. Segment rules and portfolio P&amp;L recalculate from these. Demo-only illustrative figures are listed at the bottom.</t>
  </si>
  <si>
    <t xml:space="preserve">Parameter</t>
  </si>
  <si>
    <t xml:space="preserve">Used for</t>
  </si>
  <si>
    <t xml:space="preserve">High Spender threshold — monthly spend (INR) ≥</t>
  </si>
  <si>
    <t xml:space="preserve">Segment rule 1</t>
  </si>
  <si>
    <t xml:space="preserve">Frequent User threshold — login days/mo ≥</t>
  </si>
  <si>
    <t xml:space="preserve">Segment rule 2</t>
  </si>
  <si>
    <t xml:space="preserve">Low Activity threshold — txn count ≤</t>
  </si>
  <si>
    <t xml:space="preserve">Segment rule 3 (else Mid-Tier)</t>
  </si>
  <si>
    <t xml:space="preserve">Active user threshold — login days/mo ≥</t>
  </si>
  <si>
    <t xml:space="preserve">Active users KPI</t>
  </si>
  <si>
    <t xml:space="preserve">Default probability cut-off</t>
  </si>
  <si>
    <t xml:space="preserve">Predicted class</t>
  </si>
  <si>
    <t xml:space="preserve">Loan interest rate (annual)</t>
  </si>
  <si>
    <t xml:space="preserve">Portfolio interest income</t>
  </si>
  <si>
    <t xml:space="preserve">Funnel: visitors (illustrative)</t>
  </si>
  <si>
    <t xml:space="preserve">Funnel top stage</t>
  </si>
  <si>
    <t xml:space="preserve">Funnel: active → loan-ready rate (illustrative)</t>
  </si>
  <si>
    <t xml:space="preserve">Funnel last stage</t>
  </si>
  <si>
    <t xml:space="preserve">DEMO-ONLY ILLUSTRATIVE FIGURES (not derived from data — shown in the demo with an "Illustrative" label)</t>
  </si>
  <si>
    <t xml:space="preserve">Metric</t>
  </si>
  <si>
    <t xml:space="preserve">CAC (INR)</t>
  </si>
  <si>
    <t xml:space="preserve">Assumption — no source dataset</t>
  </si>
  <si>
    <t xml:space="preserve">LTV (INR)</t>
  </si>
  <si>
    <t xml:space="preserve">ARPU per month (INR)</t>
  </si>
  <si>
    <t xml:space="preserve">LTV:CAC ratio</t>
  </si>
  <si>
    <t xml:space="preserve">Payback period (months)</t>
  </si>
  <si>
    <t xml:space="preserve">Fintech avg default rate (benchmark)</t>
  </si>
  <si>
    <t xml:space="preserve">Fintech avg CAC (INR)</t>
  </si>
  <si>
    <t xml:space="preserve">Fintech avg LTV (INR)</t>
  </si>
  <si>
    <t xml:space="preserve">CREDIT RISK — DATASET (200 records, simulated)</t>
  </si>
  <si>
    <t xml:space="preserve">LTI is now a formula. Pred Prob = logistic regression output (trained on rows marked Train, scored on all rows).</t>
  </si>
  <si>
    <t xml:space="preserve">Customer ID</t>
  </si>
  <si>
    <t xml:space="preserve">Age</t>
  </si>
  <si>
    <t xml:space="preserve">Annual Income (INR)</t>
  </si>
  <si>
    <t xml:space="preserve">Loan Amount (INR)</t>
  </si>
  <si>
    <t xml:space="preserve">Credit History</t>
  </si>
  <si>
    <t xml:space="preserve">Employment</t>
  </si>
  <si>
    <t xml:space="preserve">LTI Ratio</t>
  </si>
  <si>
    <t xml:space="preserve">Default (1=Yes)</t>
  </si>
  <si>
    <t xml:space="preserve">Pred Prob</t>
  </si>
  <si>
    <t xml:space="preserve">Pred Class</t>
  </si>
  <si>
    <t xml:space="preserve">Set</t>
  </si>
  <si>
    <t xml:space="preserve">CUST-1001</t>
  </si>
  <si>
    <t xml:space="preserve">Bad</t>
  </si>
  <si>
    <t xml:space="preserve">Self-Employed</t>
  </si>
  <si>
    <t xml:space="preserve">Train</t>
  </si>
  <si>
    <t xml:space="preserve">CUST-1002</t>
  </si>
  <si>
    <t xml:space="preserve">Good</t>
  </si>
  <si>
    <t xml:space="preserve">Unemployed</t>
  </si>
  <si>
    <t xml:space="preserve">CUST-1003</t>
  </si>
  <si>
    <t xml:space="preserve">Test</t>
  </si>
  <si>
    <t xml:space="preserve">CUST-1004</t>
  </si>
  <si>
    <t xml:space="preserve">Average</t>
  </si>
  <si>
    <t xml:space="preserve">CUST-1005</t>
  </si>
  <si>
    <t xml:space="preserve">CUST-1006</t>
  </si>
  <si>
    <t xml:space="preserve">CUST-1007</t>
  </si>
  <si>
    <t xml:space="preserve">Employed</t>
  </si>
  <si>
    <t xml:space="preserve">CUST-1008</t>
  </si>
  <si>
    <t xml:space="preserve">CUST-1009</t>
  </si>
  <si>
    <t xml:space="preserve">CUST-1010</t>
  </si>
  <si>
    <t xml:space="preserve">CUST-1011</t>
  </si>
  <si>
    <t xml:space="preserve">CUST-1012</t>
  </si>
  <si>
    <t xml:space="preserve">CUST-1013</t>
  </si>
  <si>
    <t xml:space="preserve">CUST-1014</t>
  </si>
  <si>
    <t xml:space="preserve">CUST-1015</t>
  </si>
  <si>
    <t xml:space="preserve">CUST-1016</t>
  </si>
  <si>
    <t xml:space="preserve">CUST-1017</t>
  </si>
  <si>
    <t xml:space="preserve">CUST-1018</t>
  </si>
  <si>
    <t xml:space="preserve">CUST-1019</t>
  </si>
  <si>
    <t xml:space="preserve">CUST-1020</t>
  </si>
  <si>
    <t xml:space="preserve">CUST-1021</t>
  </si>
  <si>
    <t xml:space="preserve">CUST-1022</t>
  </si>
  <si>
    <t xml:space="preserve">CUST-1023</t>
  </si>
  <si>
    <t xml:space="preserve">CUST-1024</t>
  </si>
  <si>
    <t xml:space="preserve">CUST-1025</t>
  </si>
  <si>
    <t xml:space="preserve">CUST-1026</t>
  </si>
  <si>
    <t xml:space="preserve">CUST-1027</t>
  </si>
  <si>
    <t xml:space="preserve">CUST-1028</t>
  </si>
  <si>
    <t xml:space="preserve">CUST-1029</t>
  </si>
  <si>
    <t xml:space="preserve">CUST-1030</t>
  </si>
  <si>
    <t xml:space="preserve">CUST-1031</t>
  </si>
  <si>
    <t xml:space="preserve">CUST-1032</t>
  </si>
  <si>
    <t xml:space="preserve">CUST-1033</t>
  </si>
  <si>
    <t xml:space="preserve">CUST-1034</t>
  </si>
  <si>
    <t xml:space="preserve">CUST-1035</t>
  </si>
  <si>
    <t xml:space="preserve">CUST-1036</t>
  </si>
  <si>
    <t xml:space="preserve">CUST-1037</t>
  </si>
  <si>
    <t xml:space="preserve">CUST-1038</t>
  </si>
  <si>
    <t xml:space="preserve">CUST-1039</t>
  </si>
  <si>
    <t xml:space="preserve">CUST-1040</t>
  </si>
  <si>
    <t xml:space="preserve">CUST-1041</t>
  </si>
  <si>
    <t xml:space="preserve">CUST-1042</t>
  </si>
  <si>
    <t xml:space="preserve">CUST-1043</t>
  </si>
  <si>
    <t xml:space="preserve">CUST-1044</t>
  </si>
  <si>
    <t xml:space="preserve">CUST-1045</t>
  </si>
  <si>
    <t xml:space="preserve">CUST-1046</t>
  </si>
  <si>
    <t xml:space="preserve">CUST-1047</t>
  </si>
  <si>
    <t xml:space="preserve">CUST-1048</t>
  </si>
  <si>
    <t xml:space="preserve">CUST-1049</t>
  </si>
  <si>
    <t xml:space="preserve">CUST-1050</t>
  </si>
  <si>
    <t xml:space="preserve">CUST-1051</t>
  </si>
  <si>
    <t xml:space="preserve">CUST-1052</t>
  </si>
  <si>
    <t xml:space="preserve">CUST-1053</t>
  </si>
  <si>
    <t xml:space="preserve">CUST-1054</t>
  </si>
  <si>
    <t xml:space="preserve">CUST-1055</t>
  </si>
  <si>
    <t xml:space="preserve">CUST-1056</t>
  </si>
  <si>
    <t xml:space="preserve">CUST-1057</t>
  </si>
  <si>
    <t xml:space="preserve">CUST-1058</t>
  </si>
  <si>
    <t xml:space="preserve">CUST-1059</t>
  </si>
  <si>
    <t xml:space="preserve">CUST-1060</t>
  </si>
  <si>
    <t xml:space="preserve">CUST-1061</t>
  </si>
  <si>
    <t xml:space="preserve">CUST-1062</t>
  </si>
  <si>
    <t xml:space="preserve">CUST-1063</t>
  </si>
  <si>
    <t xml:space="preserve">CUST-1064</t>
  </si>
  <si>
    <t xml:space="preserve">CUST-1065</t>
  </si>
  <si>
    <t xml:space="preserve">CUST-1066</t>
  </si>
  <si>
    <t xml:space="preserve">CUST-1067</t>
  </si>
  <si>
    <t xml:space="preserve">CUST-1068</t>
  </si>
  <si>
    <t xml:space="preserve">CUST-1069</t>
  </si>
  <si>
    <t xml:space="preserve">CUST-1070</t>
  </si>
  <si>
    <t xml:space="preserve">CUST-1071</t>
  </si>
  <si>
    <t xml:space="preserve">CUST-1072</t>
  </si>
  <si>
    <t xml:space="preserve">CUST-1073</t>
  </si>
  <si>
    <t xml:space="preserve">CUST-1074</t>
  </si>
  <si>
    <t xml:space="preserve">CUST-1075</t>
  </si>
  <si>
    <t xml:space="preserve">CUST-1076</t>
  </si>
  <si>
    <t xml:space="preserve">CUST-1077</t>
  </si>
  <si>
    <t xml:space="preserve">CUST-1078</t>
  </si>
  <si>
    <t xml:space="preserve">CUST-1079</t>
  </si>
  <si>
    <t xml:space="preserve">CUST-1080</t>
  </si>
  <si>
    <t xml:space="preserve">CUST-1081</t>
  </si>
  <si>
    <t xml:space="preserve">CUST-1082</t>
  </si>
  <si>
    <t xml:space="preserve">CUST-1083</t>
  </si>
  <si>
    <t xml:space="preserve">CUST-1084</t>
  </si>
  <si>
    <t xml:space="preserve">CUST-1085</t>
  </si>
  <si>
    <t xml:space="preserve">CUST-1086</t>
  </si>
  <si>
    <t xml:space="preserve">CUST-1087</t>
  </si>
  <si>
    <t xml:space="preserve">CUST-1088</t>
  </si>
  <si>
    <t xml:space="preserve">CUST-1089</t>
  </si>
  <si>
    <t xml:space="preserve">CUST-1090</t>
  </si>
  <si>
    <t xml:space="preserve">CUST-1091</t>
  </si>
  <si>
    <t xml:space="preserve">CUST-1092</t>
  </si>
  <si>
    <t xml:space="preserve">CUST-1093</t>
  </si>
  <si>
    <t xml:space="preserve">CUST-1094</t>
  </si>
  <si>
    <t xml:space="preserve">CUST-1095</t>
  </si>
  <si>
    <t xml:space="preserve">CUST-1096</t>
  </si>
  <si>
    <t xml:space="preserve">CUST-1097</t>
  </si>
  <si>
    <t xml:space="preserve">CUST-1098</t>
  </si>
  <si>
    <t xml:space="preserve">CUST-1099</t>
  </si>
  <si>
    <t xml:space="preserve">CUST-1100</t>
  </si>
  <si>
    <t xml:space="preserve">CUST-1101</t>
  </si>
  <si>
    <t xml:space="preserve">CUST-1102</t>
  </si>
  <si>
    <t xml:space="preserve">CUST-1103</t>
  </si>
  <si>
    <t xml:space="preserve">CUST-1104</t>
  </si>
  <si>
    <t xml:space="preserve">CUST-1105</t>
  </si>
  <si>
    <t xml:space="preserve">CUST-1106</t>
  </si>
  <si>
    <t xml:space="preserve">CUST-1107</t>
  </si>
  <si>
    <t xml:space="preserve">CUST-1108</t>
  </si>
  <si>
    <t xml:space="preserve">CUST-1109</t>
  </si>
  <si>
    <t xml:space="preserve">CUST-1110</t>
  </si>
  <si>
    <t xml:space="preserve">CUST-1111</t>
  </si>
  <si>
    <t xml:space="preserve">CUST-1112</t>
  </si>
  <si>
    <t xml:space="preserve">CUST-1113</t>
  </si>
  <si>
    <t xml:space="preserve">CUST-1114</t>
  </si>
  <si>
    <t xml:space="preserve">CUST-1115</t>
  </si>
  <si>
    <t xml:space="preserve">CUST-1116</t>
  </si>
  <si>
    <t xml:space="preserve">CUST-1117</t>
  </si>
  <si>
    <t xml:space="preserve">CUST-1118</t>
  </si>
  <si>
    <t xml:space="preserve">CUST-1119</t>
  </si>
  <si>
    <t xml:space="preserve">CUST-1120</t>
  </si>
  <si>
    <t xml:space="preserve">CUST-1121</t>
  </si>
  <si>
    <t xml:space="preserve">CUST-1122</t>
  </si>
  <si>
    <t xml:space="preserve">CUST-1123</t>
  </si>
  <si>
    <t xml:space="preserve">CUST-1124</t>
  </si>
  <si>
    <t xml:space="preserve">CUST-1125</t>
  </si>
  <si>
    <t xml:space="preserve">CUST-1126</t>
  </si>
  <si>
    <t xml:space="preserve">CUST-1127</t>
  </si>
  <si>
    <t xml:space="preserve">CUST-1128</t>
  </si>
  <si>
    <t xml:space="preserve">CUST-1129</t>
  </si>
  <si>
    <t xml:space="preserve">CUST-1130</t>
  </si>
  <si>
    <t xml:space="preserve">CUST-1131</t>
  </si>
  <si>
    <t xml:space="preserve">CUST-1132</t>
  </si>
  <si>
    <t xml:space="preserve">CUST-1133</t>
  </si>
  <si>
    <t xml:space="preserve">CUST-1134</t>
  </si>
  <si>
    <t xml:space="preserve">CUST-1135</t>
  </si>
  <si>
    <t xml:space="preserve">CUST-1136</t>
  </si>
  <si>
    <t xml:space="preserve">CUST-1137</t>
  </si>
  <si>
    <t xml:space="preserve">CUST-1138</t>
  </si>
  <si>
    <t xml:space="preserve">CUST-1139</t>
  </si>
  <si>
    <t xml:space="preserve">CUST-1140</t>
  </si>
  <si>
    <t xml:space="preserve">CUST-1141</t>
  </si>
  <si>
    <t xml:space="preserve">CUST-1142</t>
  </si>
  <si>
    <t xml:space="preserve">CUST-1143</t>
  </si>
  <si>
    <t xml:space="preserve">CUST-1144</t>
  </si>
  <si>
    <t xml:space="preserve">CUST-1145</t>
  </si>
  <si>
    <t xml:space="preserve">CUST-1146</t>
  </si>
  <si>
    <t xml:space="preserve">CUST-1147</t>
  </si>
  <si>
    <t xml:space="preserve">CUST-1148</t>
  </si>
  <si>
    <t xml:space="preserve">CUST-1149</t>
  </si>
  <si>
    <t xml:space="preserve">CUST-1150</t>
  </si>
  <si>
    <t xml:space="preserve">CUST-1151</t>
  </si>
  <si>
    <t xml:space="preserve">CUST-1152</t>
  </si>
  <si>
    <t xml:space="preserve">CUST-1153</t>
  </si>
  <si>
    <t xml:space="preserve">CUST-1154</t>
  </si>
  <si>
    <t xml:space="preserve">CUST-1155</t>
  </si>
  <si>
    <t xml:space="preserve">CUST-1156</t>
  </si>
  <si>
    <t xml:space="preserve">CUST-1157</t>
  </si>
  <si>
    <t xml:space="preserve">CUST-1158</t>
  </si>
  <si>
    <t xml:space="preserve">CUST-1159</t>
  </si>
  <si>
    <t xml:space="preserve">CUST-1160</t>
  </si>
  <si>
    <t xml:space="preserve">CUST-1161</t>
  </si>
  <si>
    <t xml:space="preserve">CUST-1162</t>
  </si>
  <si>
    <t xml:space="preserve">CUST-1163</t>
  </si>
  <si>
    <t xml:space="preserve">CUST-1164</t>
  </si>
  <si>
    <t xml:space="preserve">CUST-1165</t>
  </si>
  <si>
    <t xml:space="preserve">CUST-1166</t>
  </si>
  <si>
    <t xml:space="preserve">CUST-1167</t>
  </si>
  <si>
    <t xml:space="preserve">CUST-1168</t>
  </si>
  <si>
    <t xml:space="preserve">CUST-1169</t>
  </si>
  <si>
    <t xml:space="preserve">CUST-1170</t>
  </si>
  <si>
    <t xml:space="preserve">CUST-1171</t>
  </si>
  <si>
    <t xml:space="preserve">CUST-1172</t>
  </si>
  <si>
    <t xml:space="preserve">CUST-1173</t>
  </si>
  <si>
    <t xml:space="preserve">CUST-1174</t>
  </si>
  <si>
    <t xml:space="preserve">CUST-1175</t>
  </si>
  <si>
    <t xml:space="preserve">CUST-1176</t>
  </si>
  <si>
    <t xml:space="preserve">CUST-1177</t>
  </si>
  <si>
    <t xml:space="preserve">CUST-1178</t>
  </si>
  <si>
    <t xml:space="preserve">CUST-1179</t>
  </si>
  <si>
    <t xml:space="preserve">CUST-1180</t>
  </si>
  <si>
    <t xml:space="preserve">CUST-1181</t>
  </si>
  <si>
    <t xml:space="preserve">CUST-1182</t>
  </si>
  <si>
    <t xml:space="preserve">CUST-1183</t>
  </si>
  <si>
    <t xml:space="preserve">CUST-1184</t>
  </si>
  <si>
    <t xml:space="preserve">CUST-1185</t>
  </si>
  <si>
    <t xml:space="preserve">CUST-1186</t>
  </si>
  <si>
    <t xml:space="preserve">CUST-1187</t>
  </si>
  <si>
    <t xml:space="preserve">CUST-1188</t>
  </si>
  <si>
    <t xml:space="preserve">CUST-1189</t>
  </si>
  <si>
    <t xml:space="preserve">CUST-1190</t>
  </si>
  <si>
    <t xml:space="preserve">CUST-1191</t>
  </si>
  <si>
    <t xml:space="preserve">CUST-1192</t>
  </si>
  <si>
    <t xml:space="preserve">CUST-1193</t>
  </si>
  <si>
    <t xml:space="preserve">CUST-1194</t>
  </si>
  <si>
    <t xml:space="preserve">CUST-1195</t>
  </si>
  <si>
    <t xml:space="preserve">CUST-1196</t>
  </si>
  <si>
    <t xml:space="preserve">CUST-1197</t>
  </si>
  <si>
    <t xml:space="preserve">CUST-1198</t>
  </si>
  <si>
    <t xml:space="preserve">CUST-1199</t>
  </si>
  <si>
    <t xml:space="preserve">CUST-1200</t>
  </si>
  <si>
    <t xml:space="preserve">CUSTOMER SEGMENTATION — DATASET (200 records, simulated)</t>
  </si>
  <si>
    <t xml:space="preserve">Avg Txn Value = Spend ÷ Txn Count. Segment is a rule driven by Assumptions thresholds.</t>
  </si>
  <si>
    <t xml:space="preserve">User ID</t>
  </si>
  <si>
    <t xml:space="preserve">Monthly Spend (INR)</t>
  </si>
  <si>
    <t xml:space="preserve">Txn Count</t>
  </si>
  <si>
    <t xml:space="preserve">Avg Txn Value (INR)</t>
  </si>
  <si>
    <t xml:space="preserve">Login Days/mo</t>
  </si>
  <si>
    <t xml:space="preserve">Wallet Balance (INR)</t>
  </si>
  <si>
    <t xml:space="preserve">Months Active</t>
  </si>
  <si>
    <t xml:space="preserve">USR-2001</t>
  </si>
  <si>
    <t xml:space="preserve">USR-2002</t>
  </si>
  <si>
    <t xml:space="preserve">USR-2003</t>
  </si>
  <si>
    <t xml:space="preserve">USR-2004</t>
  </si>
  <si>
    <t xml:space="preserve">USR-2005</t>
  </si>
  <si>
    <t xml:space="preserve">USR-2006</t>
  </si>
  <si>
    <t xml:space="preserve">USR-2007</t>
  </si>
  <si>
    <t xml:space="preserve">USR-2008</t>
  </si>
  <si>
    <t xml:space="preserve">USR-2009</t>
  </si>
  <si>
    <t xml:space="preserve">USR-2010</t>
  </si>
  <si>
    <t xml:space="preserve">USR-2011</t>
  </si>
  <si>
    <t xml:space="preserve">USR-2012</t>
  </si>
  <si>
    <t xml:space="preserve">USR-2013</t>
  </si>
  <si>
    <t xml:space="preserve">USR-2014</t>
  </si>
  <si>
    <t xml:space="preserve">USR-2015</t>
  </si>
  <si>
    <t xml:space="preserve">USR-2016</t>
  </si>
  <si>
    <t xml:space="preserve">USR-2017</t>
  </si>
  <si>
    <t xml:space="preserve">USR-2018</t>
  </si>
  <si>
    <t xml:space="preserve">USR-2019</t>
  </si>
  <si>
    <t xml:space="preserve">USR-2020</t>
  </si>
  <si>
    <t xml:space="preserve">USR-2021</t>
  </si>
  <si>
    <t xml:space="preserve">USR-2022</t>
  </si>
  <si>
    <t xml:space="preserve">USR-2023</t>
  </si>
  <si>
    <t xml:space="preserve">USR-2024</t>
  </si>
  <si>
    <t xml:space="preserve">USR-2025</t>
  </si>
  <si>
    <t xml:space="preserve">USR-2026</t>
  </si>
  <si>
    <t xml:space="preserve">USR-2027</t>
  </si>
  <si>
    <t xml:space="preserve">USR-2028</t>
  </si>
  <si>
    <t xml:space="preserve">USR-2029</t>
  </si>
  <si>
    <t xml:space="preserve">USR-2030</t>
  </si>
  <si>
    <t xml:space="preserve">USR-2031</t>
  </si>
  <si>
    <t xml:space="preserve">USR-2032</t>
  </si>
  <si>
    <t xml:space="preserve">USR-2033</t>
  </si>
  <si>
    <t xml:space="preserve">USR-2034</t>
  </si>
  <si>
    <t xml:space="preserve">USR-2035</t>
  </si>
  <si>
    <t xml:space="preserve">USR-2036</t>
  </si>
  <si>
    <t xml:space="preserve">USR-2037</t>
  </si>
  <si>
    <t xml:space="preserve">USR-2038</t>
  </si>
  <si>
    <t xml:space="preserve">USR-2039</t>
  </si>
  <si>
    <t xml:space="preserve">USR-2040</t>
  </si>
  <si>
    <t xml:space="preserve">USR-2041</t>
  </si>
  <si>
    <t xml:space="preserve">USR-2042</t>
  </si>
  <si>
    <t xml:space="preserve">USR-2043</t>
  </si>
  <si>
    <t xml:space="preserve">USR-2044</t>
  </si>
  <si>
    <t xml:space="preserve">USR-2045</t>
  </si>
  <si>
    <t xml:space="preserve">USR-2046</t>
  </si>
  <si>
    <t xml:space="preserve">USR-2047</t>
  </si>
  <si>
    <t xml:space="preserve">USR-2048</t>
  </si>
  <si>
    <t xml:space="preserve">USR-2049</t>
  </si>
  <si>
    <t xml:space="preserve">USR-2050</t>
  </si>
  <si>
    <t xml:space="preserve">USR-2051</t>
  </si>
  <si>
    <t xml:space="preserve">USR-2052</t>
  </si>
  <si>
    <t xml:space="preserve">USR-2053</t>
  </si>
  <si>
    <t xml:space="preserve">USR-2054</t>
  </si>
  <si>
    <t xml:space="preserve">USR-2055</t>
  </si>
  <si>
    <t xml:space="preserve">USR-2056</t>
  </si>
  <si>
    <t xml:space="preserve">USR-2057</t>
  </si>
  <si>
    <t xml:space="preserve">USR-2058</t>
  </si>
  <si>
    <t xml:space="preserve">USR-2059</t>
  </si>
  <si>
    <t xml:space="preserve">USR-2060</t>
  </si>
  <si>
    <t xml:space="preserve">USR-2061</t>
  </si>
  <si>
    <t xml:space="preserve">USR-2062</t>
  </si>
  <si>
    <t xml:space="preserve">USR-2063</t>
  </si>
  <si>
    <t xml:space="preserve">USR-2064</t>
  </si>
  <si>
    <t xml:space="preserve">USR-2065</t>
  </si>
  <si>
    <t xml:space="preserve">USR-2066</t>
  </si>
  <si>
    <t xml:space="preserve">USR-2067</t>
  </si>
  <si>
    <t xml:space="preserve">USR-2068</t>
  </si>
  <si>
    <t xml:space="preserve">USR-2069</t>
  </si>
  <si>
    <t xml:space="preserve">USR-2070</t>
  </si>
  <si>
    <t xml:space="preserve">USR-2071</t>
  </si>
  <si>
    <t xml:space="preserve">USR-2072</t>
  </si>
  <si>
    <t xml:space="preserve">USR-2073</t>
  </si>
  <si>
    <t xml:space="preserve">USR-2074</t>
  </si>
  <si>
    <t xml:space="preserve">USR-2075</t>
  </si>
  <si>
    <t xml:space="preserve">USR-2076</t>
  </si>
  <si>
    <t xml:space="preserve">USR-2077</t>
  </si>
  <si>
    <t xml:space="preserve">USR-2078</t>
  </si>
  <si>
    <t xml:space="preserve">USR-2079</t>
  </si>
  <si>
    <t xml:space="preserve">USR-2080</t>
  </si>
  <si>
    <t xml:space="preserve">USR-2081</t>
  </si>
  <si>
    <t xml:space="preserve">USR-2082</t>
  </si>
  <si>
    <t xml:space="preserve">USR-2083</t>
  </si>
  <si>
    <t xml:space="preserve">USR-2084</t>
  </si>
  <si>
    <t xml:space="preserve">USR-2085</t>
  </si>
  <si>
    <t xml:space="preserve">USR-2086</t>
  </si>
  <si>
    <t xml:space="preserve">USR-2087</t>
  </si>
  <si>
    <t xml:space="preserve">USR-2088</t>
  </si>
  <si>
    <t xml:space="preserve">USR-2089</t>
  </si>
  <si>
    <t xml:space="preserve">USR-2090</t>
  </si>
  <si>
    <t xml:space="preserve">USR-2091</t>
  </si>
  <si>
    <t xml:space="preserve">USR-2092</t>
  </si>
  <si>
    <t xml:space="preserve">USR-2093</t>
  </si>
  <si>
    <t xml:space="preserve">USR-2094</t>
  </si>
  <si>
    <t xml:space="preserve">USR-2095</t>
  </si>
  <si>
    <t xml:space="preserve">USR-2096</t>
  </si>
  <si>
    <t xml:space="preserve">USR-2097</t>
  </si>
  <si>
    <t xml:space="preserve">USR-2098</t>
  </si>
  <si>
    <t xml:space="preserve">USR-2099</t>
  </si>
  <si>
    <t xml:space="preserve">USR-2100</t>
  </si>
  <si>
    <t xml:space="preserve">USR-2101</t>
  </si>
  <si>
    <t xml:space="preserve">USR-2102</t>
  </si>
  <si>
    <t xml:space="preserve">USR-2103</t>
  </si>
  <si>
    <t xml:space="preserve">USR-2104</t>
  </si>
  <si>
    <t xml:space="preserve">USR-2105</t>
  </si>
  <si>
    <t xml:space="preserve">USR-2106</t>
  </si>
  <si>
    <t xml:space="preserve">USR-2107</t>
  </si>
  <si>
    <t xml:space="preserve">USR-2108</t>
  </si>
  <si>
    <t xml:space="preserve">USR-2109</t>
  </si>
  <si>
    <t xml:space="preserve">USR-2110</t>
  </si>
  <si>
    <t xml:space="preserve">USR-2111</t>
  </si>
  <si>
    <t xml:space="preserve">USR-2112</t>
  </si>
  <si>
    <t xml:space="preserve">USR-2113</t>
  </si>
  <si>
    <t xml:space="preserve">USR-2114</t>
  </si>
  <si>
    <t xml:space="preserve">USR-2115</t>
  </si>
  <si>
    <t xml:space="preserve">USR-2116</t>
  </si>
  <si>
    <t xml:space="preserve">USR-2117</t>
  </si>
  <si>
    <t xml:space="preserve">USR-2118</t>
  </si>
  <si>
    <t xml:space="preserve">USR-2119</t>
  </si>
  <si>
    <t xml:space="preserve">USR-2120</t>
  </si>
  <si>
    <t xml:space="preserve">USR-2121</t>
  </si>
  <si>
    <t xml:space="preserve">USR-2122</t>
  </si>
  <si>
    <t xml:space="preserve">USR-2123</t>
  </si>
  <si>
    <t xml:space="preserve">USR-2124</t>
  </si>
  <si>
    <t xml:space="preserve">USR-2125</t>
  </si>
  <si>
    <t xml:space="preserve">USR-2126</t>
  </si>
  <si>
    <t xml:space="preserve">USR-2127</t>
  </si>
  <si>
    <t xml:space="preserve">USR-2128</t>
  </si>
  <si>
    <t xml:space="preserve">USR-2129</t>
  </si>
  <si>
    <t xml:space="preserve">USR-2130</t>
  </si>
  <si>
    <t xml:space="preserve">USR-2131</t>
  </si>
  <si>
    <t xml:space="preserve">USR-2132</t>
  </si>
  <si>
    <t xml:space="preserve">USR-2133</t>
  </si>
  <si>
    <t xml:space="preserve">USR-2134</t>
  </si>
  <si>
    <t xml:space="preserve">USR-2135</t>
  </si>
  <si>
    <t xml:space="preserve">USR-2136</t>
  </si>
  <si>
    <t xml:space="preserve">USR-2137</t>
  </si>
  <si>
    <t xml:space="preserve">USR-2138</t>
  </si>
  <si>
    <t xml:space="preserve">USR-2139</t>
  </si>
  <si>
    <t xml:space="preserve">USR-2140</t>
  </si>
  <si>
    <t xml:space="preserve">USR-2141</t>
  </si>
  <si>
    <t xml:space="preserve">USR-2142</t>
  </si>
  <si>
    <t xml:space="preserve">USR-2143</t>
  </si>
  <si>
    <t xml:space="preserve">USR-2144</t>
  </si>
  <si>
    <t xml:space="preserve">USR-2145</t>
  </si>
  <si>
    <t xml:space="preserve">USR-2146</t>
  </si>
  <si>
    <t xml:space="preserve">USR-2147</t>
  </si>
  <si>
    <t xml:space="preserve">USR-2148</t>
  </si>
  <si>
    <t xml:space="preserve">USR-2149</t>
  </si>
  <si>
    <t xml:space="preserve">USR-2150</t>
  </si>
  <si>
    <t xml:space="preserve">USR-2151</t>
  </si>
  <si>
    <t xml:space="preserve">USR-2152</t>
  </si>
  <si>
    <t xml:space="preserve">USR-2153</t>
  </si>
  <si>
    <t xml:space="preserve">USR-2154</t>
  </si>
  <si>
    <t xml:space="preserve">USR-2155</t>
  </si>
  <si>
    <t xml:space="preserve">USR-2156</t>
  </si>
  <si>
    <t xml:space="preserve">USR-2157</t>
  </si>
  <si>
    <t xml:space="preserve">USR-2158</t>
  </si>
  <si>
    <t xml:space="preserve">USR-2159</t>
  </si>
  <si>
    <t xml:space="preserve">USR-2160</t>
  </si>
  <si>
    <t xml:space="preserve">USR-2161</t>
  </si>
  <si>
    <t xml:space="preserve">USR-2162</t>
  </si>
  <si>
    <t xml:space="preserve">USR-2163</t>
  </si>
  <si>
    <t xml:space="preserve">USR-2164</t>
  </si>
  <si>
    <t xml:space="preserve">USR-2165</t>
  </si>
  <si>
    <t xml:space="preserve">USR-2166</t>
  </si>
  <si>
    <t xml:space="preserve">USR-2167</t>
  </si>
  <si>
    <t xml:space="preserve">USR-2168</t>
  </si>
  <si>
    <t xml:space="preserve">USR-2169</t>
  </si>
  <si>
    <t xml:space="preserve">USR-2170</t>
  </si>
  <si>
    <t xml:space="preserve">USR-2171</t>
  </si>
  <si>
    <t xml:space="preserve">USR-2172</t>
  </si>
  <si>
    <t xml:space="preserve">USR-2173</t>
  </si>
  <si>
    <t xml:space="preserve">USR-2174</t>
  </si>
  <si>
    <t xml:space="preserve">USR-2175</t>
  </si>
  <si>
    <t xml:space="preserve">USR-2176</t>
  </si>
  <si>
    <t xml:space="preserve">USR-2177</t>
  </si>
  <si>
    <t xml:space="preserve">USR-2178</t>
  </si>
  <si>
    <t xml:space="preserve">USR-2179</t>
  </si>
  <si>
    <t xml:space="preserve">USR-2180</t>
  </si>
  <si>
    <t xml:space="preserve">USR-2181</t>
  </si>
  <si>
    <t xml:space="preserve">USR-2182</t>
  </si>
  <si>
    <t xml:space="preserve">USR-2183</t>
  </si>
  <si>
    <t xml:space="preserve">USR-2184</t>
  </si>
  <si>
    <t xml:space="preserve">USR-2185</t>
  </si>
  <si>
    <t xml:space="preserve">USR-2186</t>
  </si>
  <si>
    <t xml:space="preserve">USR-2187</t>
  </si>
  <si>
    <t xml:space="preserve">USR-2188</t>
  </si>
  <si>
    <t xml:space="preserve">USR-2189</t>
  </si>
  <si>
    <t xml:space="preserve">USR-2190</t>
  </si>
  <si>
    <t xml:space="preserve">USR-2191</t>
  </si>
  <si>
    <t xml:space="preserve">USR-2192</t>
  </si>
  <si>
    <t xml:space="preserve">USR-2193</t>
  </si>
  <si>
    <t xml:space="preserve">USR-2194</t>
  </si>
  <si>
    <t xml:space="preserve">USR-2195</t>
  </si>
  <si>
    <t xml:space="preserve">USR-2196</t>
  </si>
  <si>
    <t xml:space="preserve">USR-2197</t>
  </si>
  <si>
    <t xml:space="preserve">USR-2198</t>
  </si>
  <si>
    <t xml:space="preserve">USR-2199</t>
  </si>
  <si>
    <t xml:space="preserve">USR-2200</t>
  </si>
  <si>
    <t xml:space="preserve">SEGMENT SUMMARY STATISTICS</t>
  </si>
  <si>
    <t xml:space="preserve">Avg Txns</t>
  </si>
  <si>
    <t xml:space="preserve">Avg Logins</t>
  </si>
  <si>
    <t xml:space="preserve">Avg Balance</t>
  </si>
  <si>
    <t xml:space="preserve">Spend Share</t>
  </si>
  <si>
    <t xml:space="preserve">Churn Risk</t>
  </si>
  <si>
    <t xml:space="preserve">High Spenders</t>
  </si>
  <si>
    <t xml:space="preserve">Frequent Users</t>
  </si>
  <si>
    <t xml:space="preserve">Low Activity</t>
  </si>
  <si>
    <t xml:space="preserve">Mid-Tier</t>
  </si>
  <si>
    <t xml:space="preserve">TOTAL</t>
  </si>
  <si>
    <t xml:space="preserve">K-MEANS CROSS-CHECK (standardised spend, txns, logins, balance, months active; Python/scikit-learn)</t>
  </si>
  <si>
    <t xml:space="preserve">K</t>
  </si>
  <si>
    <t xml:space="preserve">Silhouette</t>
  </si>
  <si>
    <t xml:space="preserve">Inertia</t>
  </si>
  <si>
    <t xml:space="preserve">Finding: silhouette stays ≈0.16–0.19 for every K, so K-Means finds no strong natural clusters in this data. Segments therefore use explainable threshold rules.</t>
  </si>
  <si>
    <t xml:space="preserve">CREDIT RISK ANALYSIS — DEFAULT RATE BREAKDOWN</t>
  </si>
  <si>
    <t xml:space="preserve">DEFAULT RATE BY CREDIT HISTORY</t>
  </si>
  <si>
    <t xml:space="preserve">Total Borrowers</t>
  </si>
  <si>
    <t xml:space="preserve">Defaults</t>
  </si>
  <si>
    <t xml:space="preserve">Default Rate</t>
  </si>
  <si>
    <t xml:space="preserve">DEFAULT RATE BY EMPLOYMENT</t>
  </si>
  <si>
    <t xml:space="preserve">DEFAULT RATE BY ANNUAL INCOME (INR)</t>
  </si>
  <si>
    <t xml:space="preserve">Income Bracket</t>
  </si>
  <si>
    <t xml:space="preserve">20,000–29,999</t>
  </si>
  <si>
    <t xml:space="preserve">30,000–44,999</t>
  </si>
  <si>
    <t xml:space="preserve">45,000–59,999</t>
  </si>
  <si>
    <t xml:space="preserve">60,000–79,999</t>
  </si>
  <si>
    <t xml:space="preserve">80,000+</t>
  </si>
  <si>
    <t xml:space="preserve">DEFAULT RATE BY LOAN-TO-INCOME</t>
  </si>
  <si>
    <t xml:space="preserve">LTI Band</t>
  </si>
  <si>
    <t xml:space="preserve">LTI &lt; 0.8</t>
  </si>
  <si>
    <t xml:space="preserve">LTI 0.8–1.5</t>
  </si>
  <si>
    <t xml:space="preserve">LTI 1.5–2.0</t>
  </si>
  <si>
    <t xml:space="preserve">LTI &gt; 2.0</t>
  </si>
  <si>
    <t xml:space="preserve">FEATURE IMPORTANCE — share of absolute standardised coefficients (Python)</t>
  </si>
  <si>
    <t xml:space="preserve">Feature</t>
  </si>
  <si>
    <t xml:space="preserve">Importance</t>
  </si>
  <si>
    <t xml:space="preserve">Employment Status</t>
  </si>
  <si>
    <t xml:space="preserve">Annual Income</t>
  </si>
  <si>
    <t xml:space="preserve">LOGISTIC REGRESSION — HOLD-OUT TEST PERFORMANCE</t>
  </si>
  <si>
    <t xml:space="preserve">70/30 stratified split, random_state=42. Metrics are formulas on the Test rows of Credit Risk Data.</t>
  </si>
  <si>
    <t xml:space="preserve">Pred 0</t>
  </si>
  <si>
    <t xml:space="preserve">Pred 1</t>
  </si>
  <si>
    <t xml:space="preserve">Actual 0</t>
  </si>
  <si>
    <t xml:space="preserve">Actual 1</t>
  </si>
  <si>
    <t xml:space="preserve">Definition</t>
  </si>
  <si>
    <t xml:space="preserve">Test rows</t>
  </si>
  <si>
    <t xml:space="preserve">Hold-out records</t>
  </si>
  <si>
    <t xml:space="preserve">(TN+TP)/n</t>
  </si>
  <si>
    <t xml:space="preserve">Precision (default class)</t>
  </si>
  <si>
    <t xml:space="preserve">TP/(TP+FP)</t>
  </si>
  <si>
    <t xml:space="preserve">Recall (default class)</t>
  </si>
  <si>
    <t xml:space="preserve">TP/(TP+FN)</t>
  </si>
  <si>
    <t xml:space="preserve">F1 score</t>
  </si>
  <si>
    <t xml:space="preserve">Harmonic mean</t>
  </si>
  <si>
    <t xml:space="preserve">Computed in Python on the test rows</t>
  </si>
  <si>
    <t xml:space="preserve">MODEL COEFFICIENTS (raw scale — used by the demo’s Predict Borrower Risk tool)</t>
  </si>
  <si>
    <t xml:space="preserve">Term</t>
  </si>
  <si>
    <t xml:space="preserve">Coefficient</t>
  </si>
  <si>
    <t xml:space="preserve">Intercept</t>
  </si>
  <si>
    <t xml:space="preserve">age</t>
  </si>
  <si>
    <t xml:space="preserve">income_k</t>
  </si>
  <si>
    <t xml:space="preserve">lti</t>
  </si>
  <si>
    <t xml:space="preserve">credit_bad</t>
  </si>
  <si>
    <t xml:space="preserve">credit_avg</t>
  </si>
  <si>
    <t xml:space="preserve">emp_unemp</t>
  </si>
  <si>
    <t xml:space="preserve">emp_self</t>
  </si>
  <si>
    <t xml:space="preserve">logit = intercept + Σ coef × feature;  P(default) = 1/(1+e^-logit).  income_k = income in ₹ thousands; credit_bad/credit_avg and emp_unemp/emp_self are 0/1 dummies (Good, Employed = baseline).</t>
  </si>
  <si>
    <t xml:space="preserve">Caution: only 60 test records (16 defaults). Treat the metrics as indicative, not production-grade.</t>
  </si>
  <si>
    <t xml:space="preserve">LOAN PORTFOLIO — DERIVED FROM CREDIT DATASET</t>
  </si>
  <si>
    <t xml:space="preserve">Interest income and net P&amp;L use the Assumptions rate; they are illustrative, not accounting results.</t>
  </si>
  <si>
    <t xml:space="preserve">Loans in portfolio</t>
  </si>
  <si>
    <t xml:space="preserve">Default rate (by count)</t>
  </si>
  <si>
    <t xml:space="preserve">NPA exposure (INR) — principal of defaulted loans</t>
  </si>
  <si>
    <t xml:space="preserve">NPA % of disbursed</t>
  </si>
  <si>
    <t xml:space="preserve">Interest income, 1 yr (INR) = disbursed × rate</t>
  </si>
  <si>
    <t xml:space="preserve">Net P&amp;L (INR) = interest income − NPA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</si>
</sst>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"/>
    <numFmt numFmtId="167" formatCode="#,##0"/>
    <numFmt numFmtId="168" formatCode="0.000"/>
    <numFmt numFmtId="169" formatCode="#,##0;[RED]\-#,##0"/>
    <numFmt numFmtId="170" formatCode="0.00"/>
    <numFmt numFmtId="171" formatCode="0.0\x"/>
    <numFmt numFmtId="172" formatCode="#,##0.0"/>
    <numFmt numFmtId="173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20"/>
      <color rgb="FF0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B2A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A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Stats'!B4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Stats'!$A$5:$A$8</c:f>
              <c:strCache>
                <c:ptCount val="4"/>
                <c:pt idx="0">
                  <c:v>High Spenders</c:v>
                </c:pt>
                <c:pt idx="1">
                  <c:v>Frequent Users</c:v>
                </c:pt>
                <c:pt idx="2">
                  <c:v>Low Activity</c:v>
                </c:pt>
                <c:pt idx="3">
                  <c:v>Mid-Tier</c:v>
                </c:pt>
              </c:strCache>
            </c:strRef>
          </c:cat>
          <c:val>
            <c:numRef>
              <c:f>'Segment Stats'!$B$5:$B$8</c:f>
              <c:numCache>
                <c:formatCode>General</c:formatCode>
                <c:ptCount val="4"/>
                <c:pt idx="0">
                  <c:v>62</c:v>
                </c:pt>
                <c:pt idx="1">
                  <c:v>30</c:v>
                </c:pt>
                <c:pt idx="2">
                  <c:v>18</c:v>
                </c:pt>
                <c:pt idx="3">
                  <c:v>90</c:v>
                </c:pt>
              </c:numCache>
            </c:numRef>
          </c:val>
        </c:ser>
        <c:gapWidth val="150"/>
        <c:overlap val="0"/>
        <c:axId val="39302699"/>
        <c:axId val="55199691"/>
      </c:barChart>
      <c:catAx>
        <c:axId val="39302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99691"/>
        <c:crosses val="autoZero"/>
        <c:auto val="1"/>
        <c:lblAlgn val="ctr"/>
        <c:lblOffset val="100"/>
        <c:noMultiLvlLbl val="0"/>
      </c:catAx>
      <c:valAx>
        <c:axId val="55199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02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Credit History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Analysis'!D5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Analysis'!$A$6:$A$8</c:f>
              <c:strCache>
                <c:ptCount val="3"/>
                <c:pt idx="0">
                  <c:v>Good</c:v>
                </c:pt>
                <c:pt idx="1">
                  <c:v>Average</c:v>
                </c:pt>
                <c:pt idx="2">
                  <c:v>Bad</c:v>
                </c:pt>
              </c:strCache>
            </c:strRef>
          </c:cat>
          <c:val>
            <c:numRef>
              <c:f>'Risk Analysis'!$D$6:$D$8</c:f>
              <c:numCache>
                <c:formatCode>0.0%</c:formatCode>
                <c:ptCount val="3"/>
                <c:pt idx="0">
                  <c:v>0.1</c:v>
                </c:pt>
                <c:pt idx="1">
                  <c:v>0.318181818181818</c:v>
                </c:pt>
                <c:pt idx="2">
                  <c:v>0.481481481481481</c:v>
                </c:pt>
              </c:numCache>
            </c:numRef>
          </c:val>
        </c:ser>
        <c:gapWidth val="150"/>
        <c:overlap val="0"/>
        <c:axId val="76828578"/>
        <c:axId val="84231706"/>
      </c:barChart>
      <c:catAx>
        <c:axId val="76828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31706"/>
        <c:crosses val="autoZero"/>
        <c:auto val="1"/>
        <c:lblAlgn val="ctr"/>
        <c:lblOffset val="100"/>
        <c:noMultiLvlLbl val="0"/>
      </c:catAx>
      <c:valAx>
        <c:axId val="84231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285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160920</xdr:rowOff>
    </xdr:from>
    <xdr:to>
      <xdr:col>9</xdr:col>
      <xdr:colOff>309600</xdr:colOff>
      <xdr:row>23</xdr:row>
      <xdr:rowOff>13320</xdr:rowOff>
    </xdr:to>
    <xdr:graphicFrame>
      <xdr:nvGraphicFramePr>
        <xdr:cNvPr id="0" name="Chart 1"/>
        <xdr:cNvGraphicFramePr/>
      </xdr:nvGraphicFramePr>
      <xdr:xfrm>
        <a:off x="3947040" y="1905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12</xdr:col>
      <xdr:colOff>38880</xdr:colOff>
      <xdr:row>16</xdr:row>
      <xdr:rowOff>13320</xdr:rowOff>
    </xdr:to>
    <xdr:graphicFrame>
      <xdr:nvGraphicFramePr>
        <xdr:cNvPr id="1" name="Chart 1"/>
        <xdr:cNvGraphicFramePr/>
      </xdr:nvGraphicFramePr>
      <xdr:xfrm>
        <a:off x="5474880" y="571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E4" s="3" t="s">
        <v>3</v>
      </c>
      <c r="I4" s="3" t="s">
        <v>4</v>
      </c>
      <c r="M4" s="3" t="s">
        <v>5</v>
      </c>
    </row>
    <row r="5" customFormat="false" ht="24.45" hidden="false" customHeight="false" outlineLevel="0" collapsed="false">
      <c r="A5" s="4" t="n">
        <f aca="false">'Model Performance'!B10</f>
        <v>0.933333333333333</v>
      </c>
      <c r="E5" s="5" t="n">
        <f aca="false">'Segment Stats'!B9</f>
        <v>200</v>
      </c>
      <c r="I5" s="4" t="n">
        <f aca="false">'Segment Stats'!H5</f>
        <v>0.535616682565249</v>
      </c>
      <c r="M5" s="4" t="n">
        <f aca="false">Portfolio!B7</f>
        <v>0.275</v>
      </c>
    </row>
    <row r="6" customFormat="false" ht="15" hidden="false" customHeight="false" outlineLevel="0" collapsed="false">
      <c r="A6" s="2" t="s">
        <v>6</v>
      </c>
      <c r="E6" s="2" t="s">
        <v>7</v>
      </c>
      <c r="I6" s="2" t="s">
        <v>8</v>
      </c>
      <c r="M6" s="2" t="s">
        <v>9</v>
      </c>
    </row>
    <row r="9" customFormat="false" ht="15" hidden="false" customHeight="false" outlineLevel="0" collapsed="false">
      <c r="A9" s="6" t="s">
        <v>10</v>
      </c>
      <c r="B9" s="6" t="s">
        <v>11</v>
      </c>
      <c r="C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 customFormat="false" ht="15" hidden="false" customHeight="false" outlineLevel="0" collapsed="false">
      <c r="A10" s="7" t="s">
        <v>17</v>
      </c>
      <c r="B10" s="8" t="n">
        <f aca="false">'Model Performance'!B10</f>
        <v>0.933333333333333</v>
      </c>
      <c r="C10" s="7" t="s">
        <v>18</v>
      </c>
      <c r="F10" s="7" t="str">
        <f aca="false">'Segment Stats'!A5</f>
        <v>High Spenders</v>
      </c>
      <c r="G10" s="7" t="n">
        <f aca="false">'Segment Stats'!B5</f>
        <v>62</v>
      </c>
      <c r="H10" s="9" t="n">
        <f aca="false">'Segment Stats'!D5</f>
        <v>41432.7580645161</v>
      </c>
      <c r="I10" s="8" t="n">
        <f aca="false">'Segment Stats'!C5</f>
        <v>0.31</v>
      </c>
    </row>
    <row r="11" customFormat="false" ht="15" hidden="false" customHeight="false" outlineLevel="0" collapsed="false">
      <c r="A11" s="7" t="s">
        <v>19</v>
      </c>
      <c r="B11" s="8" t="n">
        <f aca="false">'Model Performance'!B11</f>
        <v>0.833333333333333</v>
      </c>
      <c r="C11" s="7" t="s">
        <v>20</v>
      </c>
      <c r="F11" s="7" t="str">
        <f aca="false">'Segment Stats'!A6</f>
        <v>Frequent Users</v>
      </c>
      <c r="G11" s="7" t="n">
        <f aca="false">'Segment Stats'!B6</f>
        <v>30</v>
      </c>
      <c r="H11" s="9" t="n">
        <f aca="false">'Segment Stats'!D6</f>
        <v>18220.0666666667</v>
      </c>
      <c r="I11" s="8" t="n">
        <f aca="false">'Segment Stats'!C6</f>
        <v>0.15</v>
      </c>
    </row>
    <row r="12" customFormat="false" ht="15" hidden="false" customHeight="false" outlineLevel="0" collapsed="false">
      <c r="A12" s="7" t="s">
        <v>21</v>
      </c>
      <c r="B12" s="8" t="n">
        <f aca="false">'Model Performance'!B12</f>
        <v>0.9375</v>
      </c>
      <c r="C12" s="7" t="s">
        <v>20</v>
      </c>
      <c r="F12" s="7" t="str">
        <f aca="false">'Segment Stats'!A7</f>
        <v>Low Activity</v>
      </c>
      <c r="G12" s="7" t="n">
        <f aca="false">'Segment Stats'!B7</f>
        <v>18</v>
      </c>
      <c r="H12" s="9" t="n">
        <f aca="false">'Segment Stats'!D7</f>
        <v>14148.1111111111</v>
      </c>
      <c r="I12" s="8" t="n">
        <f aca="false">'Segment Stats'!C7</f>
        <v>0.09</v>
      </c>
    </row>
    <row r="13" customFormat="false" ht="15" hidden="false" customHeight="false" outlineLevel="0" collapsed="false">
      <c r="A13" s="7" t="s">
        <v>22</v>
      </c>
      <c r="B13" s="10" t="n">
        <f aca="false">'Model Performance'!B13</f>
        <v>0.882352941176471</v>
      </c>
      <c r="C13" s="7"/>
      <c r="F13" s="7" t="str">
        <f aca="false">'Segment Stats'!A8</f>
        <v>Mid-Tier</v>
      </c>
      <c r="G13" s="7" t="n">
        <f aca="false">'Segment Stats'!B8</f>
        <v>90</v>
      </c>
      <c r="H13" s="9" t="n">
        <f aca="false">'Segment Stats'!D8</f>
        <v>15843.6222222222</v>
      </c>
      <c r="I13" s="8" t="n">
        <f aca="false">'Segment Stats'!C8</f>
        <v>0.45</v>
      </c>
    </row>
    <row r="14" customFormat="false" ht="15" hidden="false" customHeight="false" outlineLevel="0" collapsed="false">
      <c r="A14" s="7" t="s">
        <v>23</v>
      </c>
      <c r="B14" s="10" t="n">
        <f aca="false">'Model Performance'!B14</f>
        <v>0.993</v>
      </c>
      <c r="C14" s="7" t="s">
        <v>24</v>
      </c>
    </row>
    <row r="15" customFormat="false" ht="15" hidden="false" customHeight="false" outlineLevel="0" collapsed="false">
      <c r="A15" s="7" t="s">
        <v>25</v>
      </c>
      <c r="B15" s="11" t="n">
        <f aca="false">Portfolio!B4</f>
        <v>200</v>
      </c>
      <c r="C15" s="7"/>
      <c r="F15" s="7" t="s">
        <v>26</v>
      </c>
      <c r="I15" s="7" t="n">
        <f aca="false">COUNTIF('Segmentation Data'!E4:E203,"&gt;="&amp;Assumptions!B8)</f>
        <v>157</v>
      </c>
    </row>
    <row r="16" customFormat="false" ht="15" hidden="false" customHeight="false" outlineLevel="0" collapsed="false">
      <c r="A16" s="7" t="s">
        <v>27</v>
      </c>
      <c r="B16" s="9" t="n">
        <f aca="false">Portfolio!B5</f>
        <v>8733027</v>
      </c>
      <c r="C16" s="7"/>
      <c r="F16" s="7" t="s">
        <v>28</v>
      </c>
      <c r="I16" s="8" t="n">
        <f aca="false">I15/'Segment Stats'!B9</f>
        <v>0.785</v>
      </c>
    </row>
    <row r="17" customFormat="false" ht="15" hidden="false" customHeight="false" outlineLevel="0" collapsed="false">
      <c r="A17" s="7" t="s">
        <v>29</v>
      </c>
      <c r="B17" s="9" t="n">
        <f aca="false">Portfolio!B8</f>
        <v>3088982</v>
      </c>
      <c r="C17" s="7"/>
    </row>
    <row r="18" customFormat="false" ht="15" hidden="false" customHeight="false" outlineLevel="0" collapsed="false">
      <c r="A18" s="7" t="s">
        <v>30</v>
      </c>
      <c r="B18" s="12" t="n">
        <f aca="false">Portfolio!B11</f>
        <v>-2041018.76</v>
      </c>
      <c r="C18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6" t="s">
        <v>34</v>
      </c>
      <c r="B4" s="6" t="s">
        <v>11</v>
      </c>
      <c r="C4" s="6" t="s">
        <v>35</v>
      </c>
    </row>
    <row r="5" customFormat="false" ht="15" hidden="false" customHeight="false" outlineLevel="0" collapsed="false">
      <c r="A5" s="7" t="s">
        <v>36</v>
      </c>
      <c r="B5" s="13" t="n">
        <v>35000</v>
      </c>
      <c r="C5" s="7" t="s">
        <v>37</v>
      </c>
    </row>
    <row r="6" customFormat="false" ht="15" hidden="false" customHeight="false" outlineLevel="0" collapsed="false">
      <c r="A6" s="7" t="s">
        <v>38</v>
      </c>
      <c r="B6" s="13" t="n">
        <v>23</v>
      </c>
      <c r="C6" s="7" t="s">
        <v>39</v>
      </c>
    </row>
    <row r="7" customFormat="false" ht="15" hidden="false" customHeight="false" outlineLevel="0" collapsed="false">
      <c r="A7" s="7" t="s">
        <v>40</v>
      </c>
      <c r="B7" s="13" t="n">
        <v>9</v>
      </c>
      <c r="C7" s="7" t="s">
        <v>41</v>
      </c>
    </row>
    <row r="8" customFormat="false" ht="15" hidden="false" customHeight="false" outlineLevel="0" collapsed="false">
      <c r="A8" s="7" t="s">
        <v>42</v>
      </c>
      <c r="B8" s="13" t="n">
        <v>8</v>
      </c>
      <c r="C8" s="7" t="s">
        <v>43</v>
      </c>
    </row>
    <row r="9" customFormat="false" ht="15" hidden="false" customHeight="false" outlineLevel="0" collapsed="false">
      <c r="A9" s="7" t="s">
        <v>44</v>
      </c>
      <c r="B9" s="14" t="n">
        <v>0.5</v>
      </c>
      <c r="C9" s="7" t="s">
        <v>45</v>
      </c>
    </row>
    <row r="10" customFormat="false" ht="15" hidden="false" customHeight="false" outlineLevel="0" collapsed="false">
      <c r="A10" s="7" t="s">
        <v>46</v>
      </c>
      <c r="B10" s="15" t="n">
        <v>0.12</v>
      </c>
      <c r="C10" s="7" t="s">
        <v>47</v>
      </c>
    </row>
    <row r="11" customFormat="false" ht="15" hidden="false" customHeight="false" outlineLevel="0" collapsed="false">
      <c r="A11" s="7" t="s">
        <v>48</v>
      </c>
      <c r="B11" s="13" t="n">
        <v>1000</v>
      </c>
      <c r="C11" s="7" t="s">
        <v>49</v>
      </c>
    </row>
    <row r="12" customFormat="false" ht="15" hidden="false" customHeight="false" outlineLevel="0" collapsed="false">
      <c r="A12" s="7" t="s">
        <v>50</v>
      </c>
      <c r="B12" s="15" t="n">
        <v>0.405</v>
      </c>
      <c r="C12" s="7" t="s">
        <v>51</v>
      </c>
    </row>
    <row r="15" customFormat="false" ht="15" hidden="false" customHeight="false" outlineLevel="0" collapsed="false">
      <c r="A15" s="16" t="s">
        <v>52</v>
      </c>
    </row>
    <row r="16" customFormat="false" ht="15" hidden="false" customHeight="false" outlineLevel="0" collapsed="false">
      <c r="A16" s="6" t="s">
        <v>53</v>
      </c>
      <c r="B16" s="6" t="s">
        <v>11</v>
      </c>
      <c r="C16" s="6" t="s">
        <v>12</v>
      </c>
    </row>
    <row r="17" customFormat="false" ht="15" hidden="false" customHeight="false" outlineLevel="0" collapsed="false">
      <c r="A17" s="7" t="s">
        <v>54</v>
      </c>
      <c r="B17" s="17" t="n">
        <v>840</v>
      </c>
      <c r="C17" s="7" t="s">
        <v>55</v>
      </c>
    </row>
    <row r="18" customFormat="false" ht="15" hidden="false" customHeight="false" outlineLevel="0" collapsed="false">
      <c r="A18" s="7" t="s">
        <v>56</v>
      </c>
      <c r="B18" s="17" t="n">
        <v>22400</v>
      </c>
      <c r="C18" s="7" t="s">
        <v>55</v>
      </c>
    </row>
    <row r="19" customFormat="false" ht="15" hidden="false" customHeight="false" outlineLevel="0" collapsed="false">
      <c r="A19" s="7" t="s">
        <v>57</v>
      </c>
      <c r="B19" s="17" t="n">
        <v>1840</v>
      </c>
      <c r="C19" s="7" t="s">
        <v>55</v>
      </c>
    </row>
    <row r="20" customFormat="false" ht="15" hidden="false" customHeight="false" outlineLevel="0" collapsed="false">
      <c r="A20" s="7" t="s">
        <v>58</v>
      </c>
      <c r="B20" s="18" t="n">
        <f aca="false">B18/B17</f>
        <v>26.6666666666667</v>
      </c>
      <c r="C20" s="7" t="s">
        <v>55</v>
      </c>
    </row>
    <row r="21" customFormat="false" ht="15" hidden="false" customHeight="false" outlineLevel="0" collapsed="false">
      <c r="A21" s="7" t="s">
        <v>59</v>
      </c>
      <c r="B21" s="19" t="n">
        <v>5.4</v>
      </c>
      <c r="C21" s="7" t="s">
        <v>55</v>
      </c>
    </row>
    <row r="22" customFormat="false" ht="15" hidden="false" customHeight="false" outlineLevel="0" collapsed="false">
      <c r="A22" s="7" t="s">
        <v>60</v>
      </c>
      <c r="B22" s="15" t="n">
        <v>0.126</v>
      </c>
      <c r="C22" s="7" t="s">
        <v>55</v>
      </c>
    </row>
    <row r="23" customFormat="false" ht="15" hidden="false" customHeight="false" outlineLevel="0" collapsed="false">
      <c r="A23" s="7" t="s">
        <v>61</v>
      </c>
      <c r="B23" s="17" t="n">
        <v>1280</v>
      </c>
      <c r="C23" s="7" t="s">
        <v>55</v>
      </c>
    </row>
    <row r="24" customFormat="false" ht="15" hidden="false" customHeight="false" outlineLevel="0" collapsed="false">
      <c r="A24" s="7" t="s">
        <v>62</v>
      </c>
      <c r="B24" s="17" t="n">
        <v>18600</v>
      </c>
      <c r="C24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3" customFormat="false" ht="23.85" hidden="false" customHeight="false" outlineLevel="0" collapsed="false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73</v>
      </c>
      <c r="J3" s="6" t="s">
        <v>74</v>
      </c>
      <c r="K3" s="6" t="s">
        <v>75</v>
      </c>
    </row>
    <row r="4" customFormat="false" ht="15" hidden="false" customHeight="false" outlineLevel="0" collapsed="false">
      <c r="A4" s="7" t="s">
        <v>76</v>
      </c>
      <c r="B4" s="7" t="n">
        <v>59</v>
      </c>
      <c r="C4" s="9" t="n">
        <v>58623</v>
      </c>
      <c r="D4" s="9" t="n">
        <v>15966</v>
      </c>
      <c r="E4" s="7" t="s">
        <v>77</v>
      </c>
      <c r="F4" s="7" t="s">
        <v>78</v>
      </c>
      <c r="G4" s="20" t="n">
        <f aca="false">D4/C4</f>
        <v>0.272350442659025</v>
      </c>
      <c r="H4" s="7" t="n">
        <v>0</v>
      </c>
      <c r="I4" s="10" t="n">
        <v>0.0379</v>
      </c>
      <c r="J4" s="7" t="n">
        <f aca="false">IF(I4&gt;=Assumptions!$B$9,1,0)</f>
        <v>0</v>
      </c>
      <c r="K4" s="7" t="s">
        <v>79</v>
      </c>
    </row>
    <row r="5" customFormat="false" ht="15" hidden="false" customHeight="false" outlineLevel="0" collapsed="false">
      <c r="A5" s="7" t="s">
        <v>80</v>
      </c>
      <c r="B5" s="7" t="n">
        <v>49</v>
      </c>
      <c r="C5" s="9" t="n">
        <v>27392</v>
      </c>
      <c r="D5" s="9" t="n">
        <v>57921</v>
      </c>
      <c r="E5" s="7" t="s">
        <v>81</v>
      </c>
      <c r="F5" s="7" t="s">
        <v>82</v>
      </c>
      <c r="G5" s="20" t="n">
        <f aca="false">D5/C5</f>
        <v>2.11452248831776</v>
      </c>
      <c r="H5" s="7" t="n">
        <v>1</v>
      </c>
      <c r="I5" s="10" t="n">
        <v>0.9885</v>
      </c>
      <c r="J5" s="7" t="n">
        <f aca="false">IF(I5&gt;=Assumptions!$B$9,1,0)</f>
        <v>1</v>
      </c>
      <c r="K5" s="7" t="s">
        <v>79</v>
      </c>
    </row>
    <row r="6" customFormat="false" ht="15" hidden="false" customHeight="false" outlineLevel="0" collapsed="false">
      <c r="A6" s="7" t="s">
        <v>83</v>
      </c>
      <c r="B6" s="7" t="n">
        <v>35</v>
      </c>
      <c r="C6" s="9" t="n">
        <v>75680</v>
      </c>
      <c r="D6" s="9" t="n">
        <v>54726</v>
      </c>
      <c r="E6" s="7" t="s">
        <v>81</v>
      </c>
      <c r="F6" s="7" t="s">
        <v>82</v>
      </c>
      <c r="G6" s="20" t="n">
        <f aca="false">D6/C6</f>
        <v>0.723123678646935</v>
      </c>
      <c r="H6" s="7" t="n">
        <v>0</v>
      </c>
      <c r="I6" s="10" t="n">
        <v>0.1112</v>
      </c>
      <c r="J6" s="7" t="n">
        <f aca="false">IF(I6&gt;=Assumptions!$B$9,1,0)</f>
        <v>0</v>
      </c>
      <c r="K6" s="7" t="s">
        <v>84</v>
      </c>
    </row>
    <row r="7" customFormat="false" ht="15" hidden="false" customHeight="false" outlineLevel="0" collapsed="false">
      <c r="A7" s="7" t="s">
        <v>85</v>
      </c>
      <c r="B7" s="7" t="n">
        <v>63</v>
      </c>
      <c r="C7" s="9" t="n">
        <v>66717</v>
      </c>
      <c r="D7" s="9" t="n">
        <v>55300</v>
      </c>
      <c r="E7" s="7" t="s">
        <v>86</v>
      </c>
      <c r="F7" s="7" t="s">
        <v>82</v>
      </c>
      <c r="G7" s="20" t="n">
        <f aca="false">D7/C7</f>
        <v>0.828874199979016</v>
      </c>
      <c r="H7" s="7" t="n">
        <v>1</v>
      </c>
      <c r="I7" s="10" t="n">
        <v>0.5366</v>
      </c>
      <c r="J7" s="7" t="n">
        <f aca="false">IF(I7&gt;=Assumptions!$B$9,1,0)</f>
        <v>1</v>
      </c>
      <c r="K7" s="7" t="s">
        <v>79</v>
      </c>
    </row>
    <row r="8" customFormat="false" ht="15" hidden="false" customHeight="false" outlineLevel="0" collapsed="false">
      <c r="A8" s="7" t="s">
        <v>87</v>
      </c>
      <c r="B8" s="7" t="n">
        <v>28</v>
      </c>
      <c r="C8" s="9" t="n">
        <v>107092</v>
      </c>
      <c r="D8" s="9" t="n">
        <v>27677</v>
      </c>
      <c r="E8" s="7" t="s">
        <v>86</v>
      </c>
      <c r="F8" s="7" t="s">
        <v>82</v>
      </c>
      <c r="G8" s="20" t="n">
        <f aca="false">D8/C8</f>
        <v>0.258441340156127</v>
      </c>
      <c r="H8" s="7" t="n">
        <v>0</v>
      </c>
      <c r="I8" s="10" t="n">
        <v>0.0808</v>
      </c>
      <c r="J8" s="7" t="n">
        <f aca="false">IF(I8&gt;=Assumptions!$B$9,1,0)</f>
        <v>0</v>
      </c>
      <c r="K8" s="7" t="s">
        <v>84</v>
      </c>
    </row>
    <row r="9" customFormat="false" ht="15" hidden="false" customHeight="false" outlineLevel="0" collapsed="false">
      <c r="A9" s="7" t="s">
        <v>88</v>
      </c>
      <c r="B9" s="7" t="n">
        <v>41</v>
      </c>
      <c r="C9" s="9" t="n">
        <v>70859</v>
      </c>
      <c r="D9" s="9" t="n">
        <v>60609</v>
      </c>
      <c r="E9" s="7" t="s">
        <v>86</v>
      </c>
      <c r="F9" s="7" t="s">
        <v>82</v>
      </c>
      <c r="G9" s="20" t="n">
        <f aca="false">D9/C9</f>
        <v>0.855346533256185</v>
      </c>
      <c r="H9" s="7" t="n">
        <v>1</v>
      </c>
      <c r="I9" s="10" t="n">
        <v>0.6227</v>
      </c>
      <c r="J9" s="7" t="n">
        <f aca="false">IF(I9&gt;=Assumptions!$B$9,1,0)</f>
        <v>1</v>
      </c>
      <c r="K9" s="7" t="s">
        <v>79</v>
      </c>
    </row>
    <row r="10" customFormat="false" ht="15" hidden="false" customHeight="false" outlineLevel="0" collapsed="false">
      <c r="A10" s="7" t="s">
        <v>89</v>
      </c>
      <c r="B10" s="7" t="n">
        <v>59</v>
      </c>
      <c r="C10" s="9" t="n">
        <v>46309</v>
      </c>
      <c r="D10" s="9" t="n">
        <v>61661</v>
      </c>
      <c r="E10" s="7" t="s">
        <v>81</v>
      </c>
      <c r="F10" s="7" t="s">
        <v>90</v>
      </c>
      <c r="G10" s="20" t="n">
        <f aca="false">D10/C10</f>
        <v>1.33151223304325</v>
      </c>
      <c r="H10" s="7" t="n">
        <v>0</v>
      </c>
      <c r="I10" s="10" t="n">
        <v>0.0509</v>
      </c>
      <c r="J10" s="7" t="n">
        <f aca="false">IF(I10&gt;=Assumptions!$B$9,1,0)</f>
        <v>0</v>
      </c>
      <c r="K10" s="7" t="s">
        <v>79</v>
      </c>
    </row>
    <row r="11" customFormat="false" ht="15" hidden="false" customHeight="false" outlineLevel="0" collapsed="false">
      <c r="A11" s="7" t="s">
        <v>91</v>
      </c>
      <c r="B11" s="7" t="n">
        <v>39</v>
      </c>
      <c r="C11" s="9" t="n">
        <v>107455</v>
      </c>
      <c r="D11" s="9" t="n">
        <v>36024</v>
      </c>
      <c r="E11" s="7" t="s">
        <v>77</v>
      </c>
      <c r="F11" s="7" t="s">
        <v>82</v>
      </c>
      <c r="G11" s="20" t="n">
        <f aca="false">D11/C11</f>
        <v>0.335247312828626</v>
      </c>
      <c r="H11" s="7" t="n">
        <v>1</v>
      </c>
      <c r="I11" s="10" t="n">
        <v>0.4398</v>
      </c>
      <c r="J11" s="7" t="n">
        <f aca="false">IF(I11&gt;=Assumptions!$B$9,1,0)</f>
        <v>0</v>
      </c>
      <c r="K11" s="7" t="s">
        <v>84</v>
      </c>
    </row>
    <row r="12" customFormat="false" ht="15" hidden="false" customHeight="false" outlineLevel="0" collapsed="false">
      <c r="A12" s="7" t="s">
        <v>92</v>
      </c>
      <c r="B12" s="7" t="n">
        <v>43</v>
      </c>
      <c r="C12" s="9" t="n">
        <v>83734</v>
      </c>
      <c r="D12" s="9" t="n">
        <v>75313</v>
      </c>
      <c r="E12" s="7" t="s">
        <v>81</v>
      </c>
      <c r="F12" s="7" t="s">
        <v>82</v>
      </c>
      <c r="G12" s="20" t="n">
        <f aca="false">D12/C12</f>
        <v>0.89943153318843</v>
      </c>
      <c r="H12" s="7" t="n">
        <v>0</v>
      </c>
      <c r="I12" s="10" t="n">
        <v>0.1764</v>
      </c>
      <c r="J12" s="7" t="n">
        <f aca="false">IF(I12&gt;=Assumptions!$B$9,1,0)</f>
        <v>0</v>
      </c>
      <c r="K12" s="7" t="s">
        <v>79</v>
      </c>
    </row>
    <row r="13" customFormat="false" ht="15" hidden="false" customHeight="false" outlineLevel="0" collapsed="false">
      <c r="A13" s="7" t="s">
        <v>93</v>
      </c>
      <c r="B13" s="7" t="n">
        <v>31</v>
      </c>
      <c r="C13" s="9" t="n">
        <v>90467</v>
      </c>
      <c r="D13" s="9" t="n">
        <v>58006</v>
      </c>
      <c r="E13" s="7" t="s">
        <v>77</v>
      </c>
      <c r="F13" s="7" t="s">
        <v>82</v>
      </c>
      <c r="G13" s="20" t="n">
        <f aca="false">D13/C13</f>
        <v>0.641184078172151</v>
      </c>
      <c r="H13" s="7" t="n">
        <v>1</v>
      </c>
      <c r="I13" s="10" t="n">
        <v>0.8082</v>
      </c>
      <c r="J13" s="7" t="n">
        <f aca="false">IF(I13&gt;=Assumptions!$B$9,1,0)</f>
        <v>1</v>
      </c>
      <c r="K13" s="7" t="s">
        <v>79</v>
      </c>
    </row>
    <row r="14" customFormat="false" ht="15" hidden="false" customHeight="false" outlineLevel="0" collapsed="false">
      <c r="A14" s="7" t="s">
        <v>94</v>
      </c>
      <c r="B14" s="7" t="n">
        <v>31</v>
      </c>
      <c r="C14" s="9" t="n">
        <v>72662</v>
      </c>
      <c r="D14" s="9" t="n">
        <v>20338</v>
      </c>
      <c r="E14" s="7" t="s">
        <v>81</v>
      </c>
      <c r="F14" s="7" t="s">
        <v>82</v>
      </c>
      <c r="G14" s="20" t="n">
        <f aca="false">D14/C14</f>
        <v>0.27989870909141</v>
      </c>
      <c r="H14" s="7" t="n">
        <v>0</v>
      </c>
      <c r="I14" s="10" t="n">
        <v>0.0198</v>
      </c>
      <c r="J14" s="7" t="n">
        <f aca="false">IF(I14&gt;=Assumptions!$B$9,1,0)</f>
        <v>0</v>
      </c>
      <c r="K14" s="7" t="s">
        <v>79</v>
      </c>
    </row>
    <row r="15" customFormat="false" ht="15" hidden="false" customHeight="false" outlineLevel="0" collapsed="false">
      <c r="A15" s="7" t="s">
        <v>95</v>
      </c>
      <c r="B15" s="7" t="n">
        <v>44</v>
      </c>
      <c r="C15" s="9" t="n">
        <v>118506</v>
      </c>
      <c r="D15" s="9" t="n">
        <v>73027</v>
      </c>
      <c r="E15" s="7" t="s">
        <v>77</v>
      </c>
      <c r="F15" s="7" t="s">
        <v>78</v>
      </c>
      <c r="G15" s="20" t="n">
        <f aca="false">D15/C15</f>
        <v>0.616230401836194</v>
      </c>
      <c r="H15" s="7" t="n">
        <v>0</v>
      </c>
      <c r="I15" s="10" t="n">
        <v>0.0825</v>
      </c>
      <c r="J15" s="7" t="n">
        <f aca="false">IF(I15&gt;=Assumptions!$B$9,1,0)</f>
        <v>0</v>
      </c>
      <c r="K15" s="7" t="s">
        <v>79</v>
      </c>
    </row>
    <row r="16" customFormat="false" ht="15" hidden="false" customHeight="false" outlineLevel="0" collapsed="false">
      <c r="A16" s="7" t="s">
        <v>96</v>
      </c>
      <c r="B16" s="7" t="n">
        <v>56</v>
      </c>
      <c r="C16" s="9" t="n">
        <v>32688</v>
      </c>
      <c r="D16" s="9" t="n">
        <v>24508</v>
      </c>
      <c r="E16" s="7" t="s">
        <v>81</v>
      </c>
      <c r="F16" s="7" t="s">
        <v>90</v>
      </c>
      <c r="G16" s="20" t="n">
        <f aca="false">D16/C16</f>
        <v>0.749755261869799</v>
      </c>
      <c r="H16" s="7" t="n">
        <v>0</v>
      </c>
      <c r="I16" s="10" t="n">
        <v>0.0054</v>
      </c>
      <c r="J16" s="7" t="n">
        <f aca="false">IF(I16&gt;=Assumptions!$B$9,1,0)</f>
        <v>0</v>
      </c>
      <c r="K16" s="7" t="s">
        <v>79</v>
      </c>
    </row>
    <row r="17" customFormat="false" ht="15" hidden="false" customHeight="false" outlineLevel="0" collapsed="false">
      <c r="A17" s="7" t="s">
        <v>97</v>
      </c>
      <c r="B17" s="7" t="n">
        <v>60</v>
      </c>
      <c r="C17" s="9" t="n">
        <v>45342</v>
      </c>
      <c r="D17" s="9" t="n">
        <v>8051</v>
      </c>
      <c r="E17" s="7" t="s">
        <v>86</v>
      </c>
      <c r="F17" s="7" t="s">
        <v>82</v>
      </c>
      <c r="G17" s="20" t="n">
        <f aca="false">D17/C17</f>
        <v>0.177561642627145</v>
      </c>
      <c r="H17" s="7" t="n">
        <v>0</v>
      </c>
      <c r="I17" s="10" t="n">
        <v>0.0892</v>
      </c>
      <c r="J17" s="7" t="n">
        <f aca="false">IF(I17&gt;=Assumptions!$B$9,1,0)</f>
        <v>0</v>
      </c>
      <c r="K17" s="7" t="s">
        <v>79</v>
      </c>
    </row>
    <row r="18" customFormat="false" ht="15" hidden="false" customHeight="false" outlineLevel="0" collapsed="false">
      <c r="A18" s="7" t="s">
        <v>98</v>
      </c>
      <c r="B18" s="7" t="n">
        <v>44</v>
      </c>
      <c r="C18" s="9" t="n">
        <v>57157</v>
      </c>
      <c r="D18" s="9" t="n">
        <v>53747</v>
      </c>
      <c r="E18" s="7" t="s">
        <v>81</v>
      </c>
      <c r="F18" s="7" t="s">
        <v>82</v>
      </c>
      <c r="G18" s="20" t="n">
        <f aca="false">D18/C18</f>
        <v>0.940339765907938</v>
      </c>
      <c r="H18" s="7" t="n">
        <v>0</v>
      </c>
      <c r="I18" s="10" t="n">
        <v>0.2704</v>
      </c>
      <c r="J18" s="7" t="n">
        <f aca="false">IF(I18&gt;=Assumptions!$B$9,1,0)</f>
        <v>0</v>
      </c>
      <c r="K18" s="7" t="s">
        <v>79</v>
      </c>
    </row>
    <row r="19" customFormat="false" ht="15" hidden="false" customHeight="false" outlineLevel="0" collapsed="false">
      <c r="A19" s="7" t="s">
        <v>99</v>
      </c>
      <c r="B19" s="7" t="n">
        <v>23</v>
      </c>
      <c r="C19" s="9" t="n">
        <v>87863</v>
      </c>
      <c r="D19" s="9" t="n">
        <v>59021</v>
      </c>
      <c r="E19" s="7" t="s">
        <v>77</v>
      </c>
      <c r="F19" s="7" t="s">
        <v>82</v>
      </c>
      <c r="G19" s="20" t="n">
        <f aca="false">D19/C19</f>
        <v>0.671738957240249</v>
      </c>
      <c r="H19" s="7" t="n">
        <v>1</v>
      </c>
      <c r="I19" s="10" t="n">
        <v>0.8478</v>
      </c>
      <c r="J19" s="7" t="n">
        <f aca="false">IF(I19&gt;=Assumptions!$B$9,1,0)</f>
        <v>1</v>
      </c>
      <c r="K19" s="7" t="s">
        <v>79</v>
      </c>
    </row>
    <row r="20" customFormat="false" ht="15" hidden="false" customHeight="false" outlineLevel="0" collapsed="false">
      <c r="A20" s="7" t="s">
        <v>100</v>
      </c>
      <c r="B20" s="7" t="n">
        <v>42</v>
      </c>
      <c r="C20" s="9" t="n">
        <v>72083</v>
      </c>
      <c r="D20" s="9" t="n">
        <v>71412</v>
      </c>
      <c r="E20" s="7" t="s">
        <v>81</v>
      </c>
      <c r="F20" s="7" t="s">
        <v>90</v>
      </c>
      <c r="G20" s="20" t="n">
        <f aca="false">D20/C20</f>
        <v>0.990691286433695</v>
      </c>
      <c r="H20" s="7" t="n">
        <v>0</v>
      </c>
      <c r="I20" s="10" t="n">
        <v>0.0105</v>
      </c>
      <c r="J20" s="7" t="n">
        <f aca="false">IF(I20&gt;=Assumptions!$B$9,1,0)</f>
        <v>0</v>
      </c>
      <c r="K20" s="7" t="s">
        <v>79</v>
      </c>
    </row>
    <row r="21" customFormat="false" ht="15" hidden="false" customHeight="false" outlineLevel="0" collapsed="false">
      <c r="A21" s="7" t="s">
        <v>101</v>
      </c>
      <c r="B21" s="7" t="n">
        <v>22</v>
      </c>
      <c r="C21" s="9" t="n">
        <v>85733</v>
      </c>
      <c r="D21" s="9" t="n">
        <v>63335</v>
      </c>
      <c r="E21" s="7" t="s">
        <v>81</v>
      </c>
      <c r="F21" s="7" t="s">
        <v>78</v>
      </c>
      <c r="G21" s="20" t="n">
        <f aca="false">D21/C21</f>
        <v>0.73874704022955</v>
      </c>
      <c r="H21" s="7" t="n">
        <v>0</v>
      </c>
      <c r="I21" s="10" t="n">
        <v>0.0059</v>
      </c>
      <c r="J21" s="7" t="n">
        <f aca="false">IF(I21&gt;=Assumptions!$B$9,1,0)</f>
        <v>0</v>
      </c>
      <c r="K21" s="7" t="s">
        <v>79</v>
      </c>
    </row>
    <row r="22" customFormat="false" ht="15" hidden="false" customHeight="false" outlineLevel="0" collapsed="false">
      <c r="A22" s="7" t="s">
        <v>102</v>
      </c>
      <c r="B22" s="7" t="n">
        <v>44</v>
      </c>
      <c r="C22" s="9" t="n">
        <v>109045</v>
      </c>
      <c r="D22" s="9" t="n">
        <v>61179</v>
      </c>
      <c r="E22" s="7" t="s">
        <v>81</v>
      </c>
      <c r="F22" s="7" t="s">
        <v>90</v>
      </c>
      <c r="G22" s="20" t="n">
        <f aca="false">D22/C22</f>
        <v>0.561043605850796</v>
      </c>
      <c r="H22" s="7" t="n">
        <v>0</v>
      </c>
      <c r="I22" s="10" t="n">
        <v>0.0009</v>
      </c>
      <c r="J22" s="7" t="n">
        <f aca="false">IF(I22&gt;=Assumptions!$B$9,1,0)</f>
        <v>0</v>
      </c>
      <c r="K22" s="7" t="s">
        <v>79</v>
      </c>
    </row>
    <row r="23" customFormat="false" ht="15" hidden="false" customHeight="false" outlineLevel="0" collapsed="false">
      <c r="A23" s="7" t="s">
        <v>103</v>
      </c>
      <c r="B23" s="7" t="n">
        <v>64</v>
      </c>
      <c r="C23" s="9" t="n">
        <v>54698</v>
      </c>
      <c r="D23" s="9" t="n">
        <v>37093</v>
      </c>
      <c r="E23" s="7" t="s">
        <v>86</v>
      </c>
      <c r="F23" s="7" t="s">
        <v>78</v>
      </c>
      <c r="G23" s="20" t="n">
        <f aca="false">D23/C23</f>
        <v>0.678141796775019</v>
      </c>
      <c r="H23" s="7" t="n">
        <v>0</v>
      </c>
      <c r="I23" s="10" t="n">
        <v>0.0293</v>
      </c>
      <c r="J23" s="7" t="n">
        <f aca="false">IF(I23&gt;=Assumptions!$B$9,1,0)</f>
        <v>0</v>
      </c>
      <c r="K23" s="7" t="s">
        <v>79</v>
      </c>
    </row>
    <row r="24" customFormat="false" ht="15" hidden="false" customHeight="false" outlineLevel="0" collapsed="false">
      <c r="A24" s="7" t="s">
        <v>104</v>
      </c>
      <c r="B24" s="7" t="n">
        <v>50</v>
      </c>
      <c r="C24" s="9" t="n">
        <v>100623</v>
      </c>
      <c r="D24" s="9" t="n">
        <v>74678</v>
      </c>
      <c r="E24" s="7" t="s">
        <v>81</v>
      </c>
      <c r="F24" s="7" t="s">
        <v>82</v>
      </c>
      <c r="G24" s="20" t="n">
        <f aca="false">D24/C24</f>
        <v>0.742156365840812</v>
      </c>
      <c r="H24" s="7" t="n">
        <v>0</v>
      </c>
      <c r="I24" s="10" t="n">
        <v>0.0716</v>
      </c>
      <c r="J24" s="7" t="n">
        <f aca="false">IF(I24&gt;=Assumptions!$B$9,1,0)</f>
        <v>0</v>
      </c>
      <c r="K24" s="7" t="s">
        <v>84</v>
      </c>
    </row>
    <row r="25" customFormat="false" ht="15" hidden="false" customHeight="false" outlineLevel="0" collapsed="false">
      <c r="A25" s="7" t="s">
        <v>105</v>
      </c>
      <c r="B25" s="7" t="n">
        <v>58</v>
      </c>
      <c r="C25" s="9" t="n">
        <v>42671</v>
      </c>
      <c r="D25" s="9" t="n">
        <v>44734</v>
      </c>
      <c r="E25" s="7" t="s">
        <v>86</v>
      </c>
      <c r="F25" s="7" t="s">
        <v>82</v>
      </c>
      <c r="G25" s="20" t="n">
        <f aca="false">D25/C25</f>
        <v>1.04834665229313</v>
      </c>
      <c r="H25" s="7" t="n">
        <v>1</v>
      </c>
      <c r="I25" s="10" t="n">
        <v>0.8196</v>
      </c>
      <c r="J25" s="7" t="n">
        <f aca="false">IF(I25&gt;=Assumptions!$B$9,1,0)</f>
        <v>1</v>
      </c>
      <c r="K25" s="7" t="s">
        <v>79</v>
      </c>
    </row>
    <row r="26" customFormat="false" ht="15" hidden="false" customHeight="false" outlineLevel="0" collapsed="false">
      <c r="A26" s="7" t="s">
        <v>106</v>
      </c>
      <c r="B26" s="7" t="n">
        <v>22</v>
      </c>
      <c r="C26" s="9" t="n">
        <v>45184</v>
      </c>
      <c r="D26" s="9" t="n">
        <v>77615</v>
      </c>
      <c r="E26" s="7" t="s">
        <v>86</v>
      </c>
      <c r="F26" s="7" t="s">
        <v>90</v>
      </c>
      <c r="G26" s="20" t="n">
        <f aca="false">D26/C26</f>
        <v>1.71775407223796</v>
      </c>
      <c r="H26" s="7" t="n">
        <v>1</v>
      </c>
      <c r="I26" s="10" t="n">
        <v>0.7835</v>
      </c>
      <c r="J26" s="7" t="n">
        <f aca="false">IF(I26&gt;=Assumptions!$B$9,1,0)</f>
        <v>1</v>
      </c>
      <c r="K26" s="7" t="s">
        <v>79</v>
      </c>
    </row>
    <row r="27" customFormat="false" ht="15" hidden="false" customHeight="false" outlineLevel="0" collapsed="false">
      <c r="A27" s="7" t="s">
        <v>107</v>
      </c>
      <c r="B27" s="7" t="n">
        <v>41</v>
      </c>
      <c r="C27" s="9" t="n">
        <v>113384</v>
      </c>
      <c r="D27" s="9" t="n">
        <v>78523</v>
      </c>
      <c r="E27" s="7" t="s">
        <v>81</v>
      </c>
      <c r="F27" s="7" t="s">
        <v>90</v>
      </c>
      <c r="G27" s="20" t="n">
        <f aca="false">D27/C27</f>
        <v>0.692540393706343</v>
      </c>
      <c r="H27" s="7" t="n">
        <v>0</v>
      </c>
      <c r="I27" s="10" t="n">
        <v>0.0016</v>
      </c>
      <c r="J27" s="7" t="n">
        <f aca="false">IF(I27&gt;=Assumptions!$B$9,1,0)</f>
        <v>0</v>
      </c>
      <c r="K27" s="7" t="s">
        <v>79</v>
      </c>
    </row>
    <row r="28" customFormat="false" ht="15" hidden="false" customHeight="false" outlineLevel="0" collapsed="false">
      <c r="A28" s="7" t="s">
        <v>108</v>
      </c>
      <c r="B28" s="7" t="n">
        <v>53</v>
      </c>
      <c r="C28" s="9" t="n">
        <v>62107</v>
      </c>
      <c r="D28" s="9" t="n">
        <v>22019</v>
      </c>
      <c r="E28" s="7" t="s">
        <v>81</v>
      </c>
      <c r="F28" s="7" t="s">
        <v>78</v>
      </c>
      <c r="G28" s="20" t="n">
        <f aca="false">D28/C28</f>
        <v>0.354533305424509</v>
      </c>
      <c r="H28" s="7" t="n">
        <v>0</v>
      </c>
      <c r="I28" s="10" t="n">
        <v>0.001</v>
      </c>
      <c r="J28" s="7" t="n">
        <f aca="false">IF(I28&gt;=Assumptions!$B$9,1,0)</f>
        <v>0</v>
      </c>
      <c r="K28" s="7" t="s">
        <v>79</v>
      </c>
    </row>
    <row r="29" customFormat="false" ht="15" hidden="false" customHeight="false" outlineLevel="0" collapsed="false">
      <c r="A29" s="7" t="s">
        <v>109</v>
      </c>
      <c r="B29" s="7" t="n">
        <v>32</v>
      </c>
      <c r="C29" s="9" t="n">
        <v>106202</v>
      </c>
      <c r="D29" s="9" t="n">
        <v>78847</v>
      </c>
      <c r="E29" s="7" t="s">
        <v>81</v>
      </c>
      <c r="F29" s="7" t="s">
        <v>78</v>
      </c>
      <c r="G29" s="20" t="n">
        <f aca="false">D29/C29</f>
        <v>0.742424813092032</v>
      </c>
      <c r="H29" s="7" t="n">
        <v>0</v>
      </c>
      <c r="I29" s="10" t="n">
        <v>0.0039</v>
      </c>
      <c r="J29" s="7" t="n">
        <f aca="false">IF(I29&gt;=Assumptions!$B$9,1,0)</f>
        <v>0</v>
      </c>
      <c r="K29" s="7" t="s">
        <v>79</v>
      </c>
    </row>
    <row r="30" customFormat="false" ht="15" hidden="false" customHeight="false" outlineLevel="0" collapsed="false">
      <c r="A30" s="7" t="s">
        <v>110</v>
      </c>
      <c r="B30" s="7" t="n">
        <v>42</v>
      </c>
      <c r="C30" s="9" t="n">
        <v>71663</v>
      </c>
      <c r="D30" s="9" t="n">
        <v>33251</v>
      </c>
      <c r="E30" s="7" t="s">
        <v>77</v>
      </c>
      <c r="F30" s="7" t="s">
        <v>90</v>
      </c>
      <c r="G30" s="20" t="n">
        <f aca="false">D30/C30</f>
        <v>0.463991180944141</v>
      </c>
      <c r="H30" s="7" t="n">
        <v>0</v>
      </c>
      <c r="I30" s="10" t="n">
        <v>0.058</v>
      </c>
      <c r="J30" s="7" t="n">
        <f aca="false">IF(I30&gt;=Assumptions!$B$9,1,0)</f>
        <v>0</v>
      </c>
      <c r="K30" s="7" t="s">
        <v>79</v>
      </c>
    </row>
    <row r="31" customFormat="false" ht="15" hidden="false" customHeight="false" outlineLevel="0" collapsed="false">
      <c r="A31" s="7" t="s">
        <v>111</v>
      </c>
      <c r="B31" s="7" t="n">
        <v>64</v>
      </c>
      <c r="C31" s="9" t="n">
        <v>35708</v>
      </c>
      <c r="D31" s="9" t="n">
        <v>30945</v>
      </c>
      <c r="E31" s="7" t="s">
        <v>81</v>
      </c>
      <c r="F31" s="7" t="s">
        <v>78</v>
      </c>
      <c r="G31" s="20" t="n">
        <f aca="false">D31/C31</f>
        <v>0.86661252380419</v>
      </c>
      <c r="H31" s="7" t="n">
        <v>0</v>
      </c>
      <c r="I31" s="10" t="n">
        <v>0.0118</v>
      </c>
      <c r="J31" s="7" t="n">
        <f aca="false">IF(I31&gt;=Assumptions!$B$9,1,0)</f>
        <v>0</v>
      </c>
      <c r="K31" s="7" t="s">
        <v>79</v>
      </c>
    </row>
    <row r="32" customFormat="false" ht="15" hidden="false" customHeight="false" outlineLevel="0" collapsed="false">
      <c r="A32" s="7" t="s">
        <v>112</v>
      </c>
      <c r="B32" s="7" t="n">
        <v>45</v>
      </c>
      <c r="C32" s="9" t="n">
        <v>111906</v>
      </c>
      <c r="D32" s="9" t="n">
        <v>37217</v>
      </c>
      <c r="E32" s="7" t="s">
        <v>86</v>
      </c>
      <c r="F32" s="7" t="s">
        <v>90</v>
      </c>
      <c r="G32" s="20" t="n">
        <f aca="false">D32/C32</f>
        <v>0.332573767268958</v>
      </c>
      <c r="H32" s="7" t="n">
        <v>0</v>
      </c>
      <c r="I32" s="10" t="n">
        <v>0.0025</v>
      </c>
      <c r="J32" s="7" t="n">
        <f aca="false">IF(I32&gt;=Assumptions!$B$9,1,0)</f>
        <v>0</v>
      </c>
      <c r="K32" s="7" t="s">
        <v>84</v>
      </c>
    </row>
    <row r="33" customFormat="false" ht="15" hidden="false" customHeight="false" outlineLevel="0" collapsed="false">
      <c r="A33" s="7" t="s">
        <v>113</v>
      </c>
      <c r="B33" s="7" t="n">
        <v>47</v>
      </c>
      <c r="C33" s="9" t="n">
        <v>69811</v>
      </c>
      <c r="D33" s="9" t="n">
        <v>13308</v>
      </c>
      <c r="E33" s="7" t="s">
        <v>81</v>
      </c>
      <c r="F33" s="7" t="s">
        <v>78</v>
      </c>
      <c r="G33" s="20" t="n">
        <f aca="false">D33/C33</f>
        <v>0.190628983971007</v>
      </c>
      <c r="H33" s="7" t="n">
        <v>0</v>
      </c>
      <c r="I33" s="10" t="n">
        <v>0.0005</v>
      </c>
      <c r="J33" s="7" t="n">
        <f aca="false">IF(I33&gt;=Assumptions!$B$9,1,0)</f>
        <v>0</v>
      </c>
      <c r="K33" s="7" t="s">
        <v>84</v>
      </c>
    </row>
    <row r="34" customFormat="false" ht="15" hidden="false" customHeight="false" outlineLevel="0" collapsed="false">
      <c r="A34" s="7" t="s">
        <v>114</v>
      </c>
      <c r="B34" s="7" t="n">
        <v>62</v>
      </c>
      <c r="C34" s="9" t="n">
        <v>22811</v>
      </c>
      <c r="D34" s="9" t="n">
        <v>10949</v>
      </c>
      <c r="E34" s="7" t="s">
        <v>77</v>
      </c>
      <c r="F34" s="7" t="s">
        <v>90</v>
      </c>
      <c r="G34" s="20" t="n">
        <f aca="false">D34/C34</f>
        <v>0.479987725220288</v>
      </c>
      <c r="H34" s="7" t="n">
        <v>0</v>
      </c>
      <c r="I34" s="10" t="n">
        <v>0.0926</v>
      </c>
      <c r="J34" s="7" t="n">
        <f aca="false">IF(I34&gt;=Assumptions!$B$9,1,0)</f>
        <v>0</v>
      </c>
      <c r="K34" s="7" t="s">
        <v>79</v>
      </c>
    </row>
    <row r="35" customFormat="false" ht="15" hidden="false" customHeight="false" outlineLevel="0" collapsed="false">
      <c r="A35" s="7" t="s">
        <v>115</v>
      </c>
      <c r="B35" s="7" t="n">
        <v>48</v>
      </c>
      <c r="C35" s="9" t="n">
        <v>76250</v>
      </c>
      <c r="D35" s="9" t="n">
        <v>56990</v>
      </c>
      <c r="E35" s="7" t="s">
        <v>81</v>
      </c>
      <c r="F35" s="7" t="s">
        <v>90</v>
      </c>
      <c r="G35" s="20" t="n">
        <f aca="false">D35/C35</f>
        <v>0.747409836065574</v>
      </c>
      <c r="H35" s="7" t="n">
        <v>0</v>
      </c>
      <c r="I35" s="10" t="n">
        <v>0.0032</v>
      </c>
      <c r="J35" s="7" t="n">
        <f aca="false">IF(I35&gt;=Assumptions!$B$9,1,0)</f>
        <v>0</v>
      </c>
      <c r="K35" s="7" t="s">
        <v>79</v>
      </c>
    </row>
    <row r="36" customFormat="false" ht="15" hidden="false" customHeight="false" outlineLevel="0" collapsed="false">
      <c r="A36" s="7" t="s">
        <v>116</v>
      </c>
      <c r="B36" s="7" t="n">
        <v>36</v>
      </c>
      <c r="C36" s="9" t="n">
        <v>92082</v>
      </c>
      <c r="D36" s="9" t="n">
        <v>6150</v>
      </c>
      <c r="E36" s="7" t="s">
        <v>77</v>
      </c>
      <c r="F36" s="7" t="s">
        <v>90</v>
      </c>
      <c r="G36" s="20" t="n">
        <f aca="false">D36/C36</f>
        <v>0.0667882973871115</v>
      </c>
      <c r="H36" s="7" t="n">
        <v>0</v>
      </c>
      <c r="I36" s="10" t="n">
        <v>0.0088</v>
      </c>
      <c r="J36" s="7" t="n">
        <f aca="false">IF(I36&gt;=Assumptions!$B$9,1,0)</f>
        <v>0</v>
      </c>
      <c r="K36" s="7" t="s">
        <v>79</v>
      </c>
    </row>
    <row r="37" customFormat="false" ht="15" hidden="false" customHeight="false" outlineLevel="0" collapsed="false">
      <c r="A37" s="7" t="s">
        <v>117</v>
      </c>
      <c r="B37" s="7" t="n">
        <v>35</v>
      </c>
      <c r="C37" s="9" t="n">
        <v>54754</v>
      </c>
      <c r="D37" s="9" t="n">
        <v>79740</v>
      </c>
      <c r="E37" s="7" t="s">
        <v>77</v>
      </c>
      <c r="F37" s="7" t="s">
        <v>78</v>
      </c>
      <c r="G37" s="20" t="n">
        <f aca="false">D37/C37</f>
        <v>1.45633195748256</v>
      </c>
      <c r="H37" s="7" t="n">
        <v>1</v>
      </c>
      <c r="I37" s="10" t="n">
        <v>0.9068</v>
      </c>
      <c r="J37" s="7" t="n">
        <f aca="false">IF(I37&gt;=Assumptions!$B$9,1,0)</f>
        <v>1</v>
      </c>
      <c r="K37" s="7" t="s">
        <v>79</v>
      </c>
    </row>
    <row r="38" customFormat="false" ht="15" hidden="false" customHeight="false" outlineLevel="0" collapsed="false">
      <c r="A38" s="7" t="s">
        <v>118</v>
      </c>
      <c r="B38" s="7" t="n">
        <v>64</v>
      </c>
      <c r="C38" s="9" t="n">
        <v>115742</v>
      </c>
      <c r="D38" s="9" t="n">
        <v>71617</v>
      </c>
      <c r="E38" s="7" t="s">
        <v>81</v>
      </c>
      <c r="F38" s="7" t="s">
        <v>78</v>
      </c>
      <c r="G38" s="20" t="n">
        <f aca="false">D38/C38</f>
        <v>0.618764147846072</v>
      </c>
      <c r="H38" s="7" t="n">
        <v>0</v>
      </c>
      <c r="I38" s="10" t="n">
        <v>0.0013</v>
      </c>
      <c r="J38" s="7" t="n">
        <f aca="false">IF(I38&gt;=Assumptions!$B$9,1,0)</f>
        <v>0</v>
      </c>
      <c r="K38" s="7" t="s">
        <v>79</v>
      </c>
    </row>
    <row r="39" customFormat="false" ht="15" hidden="false" customHeight="false" outlineLevel="0" collapsed="false">
      <c r="A39" s="7" t="s">
        <v>119</v>
      </c>
      <c r="B39" s="7" t="n">
        <v>23</v>
      </c>
      <c r="C39" s="9" t="n">
        <v>31411</v>
      </c>
      <c r="D39" s="9" t="n">
        <v>21896</v>
      </c>
      <c r="E39" s="7" t="s">
        <v>86</v>
      </c>
      <c r="F39" s="7" t="s">
        <v>78</v>
      </c>
      <c r="G39" s="20" t="n">
        <f aca="false">D39/C39</f>
        <v>0.697080640539938</v>
      </c>
      <c r="H39" s="7" t="n">
        <v>0</v>
      </c>
      <c r="I39" s="10" t="n">
        <v>0.0743</v>
      </c>
      <c r="J39" s="7" t="n">
        <f aca="false">IF(I39&gt;=Assumptions!$B$9,1,0)</f>
        <v>0</v>
      </c>
      <c r="K39" s="7" t="s">
        <v>79</v>
      </c>
    </row>
    <row r="40" customFormat="false" ht="15" hidden="false" customHeight="false" outlineLevel="0" collapsed="false">
      <c r="A40" s="7" t="s">
        <v>120</v>
      </c>
      <c r="B40" s="7" t="n">
        <v>57</v>
      </c>
      <c r="C40" s="9" t="n">
        <v>22911</v>
      </c>
      <c r="D40" s="9" t="n">
        <v>51175</v>
      </c>
      <c r="E40" s="7" t="s">
        <v>77</v>
      </c>
      <c r="F40" s="7" t="s">
        <v>90</v>
      </c>
      <c r="G40" s="20" t="n">
        <f aca="false">D40/C40</f>
        <v>2.23364322814369</v>
      </c>
      <c r="H40" s="7" t="n">
        <v>1</v>
      </c>
      <c r="I40" s="10" t="n">
        <v>0.9954</v>
      </c>
      <c r="J40" s="7" t="n">
        <f aca="false">IF(I40&gt;=Assumptions!$B$9,1,0)</f>
        <v>1</v>
      </c>
      <c r="K40" s="7" t="s">
        <v>79</v>
      </c>
    </row>
    <row r="41" customFormat="false" ht="15" hidden="false" customHeight="false" outlineLevel="0" collapsed="false">
      <c r="A41" s="7" t="s">
        <v>121</v>
      </c>
      <c r="B41" s="7" t="n">
        <v>27</v>
      </c>
      <c r="C41" s="9" t="n">
        <v>87270</v>
      </c>
      <c r="D41" s="9" t="n">
        <v>12805</v>
      </c>
      <c r="E41" s="7" t="s">
        <v>81</v>
      </c>
      <c r="F41" s="7" t="s">
        <v>78</v>
      </c>
      <c r="G41" s="20" t="n">
        <f aca="false">D41/C41</f>
        <v>0.146728543600321</v>
      </c>
      <c r="H41" s="7" t="n">
        <v>0</v>
      </c>
      <c r="I41" s="10" t="n">
        <v>0.0004</v>
      </c>
      <c r="J41" s="7" t="n">
        <f aca="false">IF(I41&gt;=Assumptions!$B$9,1,0)</f>
        <v>0</v>
      </c>
      <c r="K41" s="7" t="s">
        <v>79</v>
      </c>
    </row>
    <row r="42" customFormat="false" ht="15" hidden="false" customHeight="false" outlineLevel="0" collapsed="false">
      <c r="A42" s="7" t="s">
        <v>122</v>
      </c>
      <c r="B42" s="7" t="n">
        <v>41</v>
      </c>
      <c r="C42" s="9" t="n">
        <v>103763</v>
      </c>
      <c r="D42" s="9" t="n">
        <v>10237</v>
      </c>
      <c r="E42" s="7" t="s">
        <v>81</v>
      </c>
      <c r="F42" s="7" t="s">
        <v>78</v>
      </c>
      <c r="G42" s="20" t="n">
        <f aca="false">D42/C42</f>
        <v>0.098657517612251</v>
      </c>
      <c r="H42" s="7" t="n">
        <v>0</v>
      </c>
      <c r="I42" s="10" t="n">
        <v>0.0002</v>
      </c>
      <c r="J42" s="7" t="n">
        <f aca="false">IF(I42&gt;=Assumptions!$B$9,1,0)</f>
        <v>0</v>
      </c>
      <c r="K42" s="7" t="s">
        <v>79</v>
      </c>
    </row>
    <row r="43" customFormat="false" ht="15" hidden="false" customHeight="false" outlineLevel="0" collapsed="false">
      <c r="A43" s="7" t="s">
        <v>123</v>
      </c>
      <c r="B43" s="7" t="n">
        <v>29</v>
      </c>
      <c r="C43" s="9" t="n">
        <v>28680</v>
      </c>
      <c r="D43" s="9" t="n">
        <v>25056</v>
      </c>
      <c r="E43" s="7" t="s">
        <v>86</v>
      </c>
      <c r="F43" s="7" t="s">
        <v>90</v>
      </c>
      <c r="G43" s="20" t="n">
        <f aca="false">D43/C43</f>
        <v>0.873640167364017</v>
      </c>
      <c r="H43" s="7" t="n">
        <v>0</v>
      </c>
      <c r="I43" s="10" t="n">
        <v>0.0975</v>
      </c>
      <c r="J43" s="7" t="n">
        <f aca="false">IF(I43&gt;=Assumptions!$B$9,1,0)</f>
        <v>0</v>
      </c>
      <c r="K43" s="7" t="s">
        <v>79</v>
      </c>
    </row>
    <row r="44" customFormat="false" ht="15" hidden="false" customHeight="false" outlineLevel="0" collapsed="false">
      <c r="A44" s="7" t="s">
        <v>124</v>
      </c>
      <c r="B44" s="7" t="n">
        <v>59</v>
      </c>
      <c r="C44" s="9" t="n">
        <v>104896</v>
      </c>
      <c r="D44" s="9" t="n">
        <v>50543</v>
      </c>
      <c r="E44" s="7" t="s">
        <v>77</v>
      </c>
      <c r="F44" s="7" t="s">
        <v>82</v>
      </c>
      <c r="G44" s="20" t="n">
        <f aca="false">D44/C44</f>
        <v>0.481839154972544</v>
      </c>
      <c r="H44" s="7" t="n">
        <v>1</v>
      </c>
      <c r="I44" s="10" t="n">
        <v>0.5392</v>
      </c>
      <c r="J44" s="7" t="n">
        <f aca="false">IF(I44&gt;=Assumptions!$B$9,1,0)</f>
        <v>1</v>
      </c>
      <c r="K44" s="7" t="s">
        <v>79</v>
      </c>
    </row>
    <row r="45" customFormat="false" ht="15" hidden="false" customHeight="false" outlineLevel="0" collapsed="false">
      <c r="A45" s="7" t="s">
        <v>125</v>
      </c>
      <c r="B45" s="7" t="n">
        <v>38</v>
      </c>
      <c r="C45" s="9" t="n">
        <v>103879</v>
      </c>
      <c r="D45" s="9" t="n">
        <v>61556</v>
      </c>
      <c r="E45" s="7" t="s">
        <v>77</v>
      </c>
      <c r="F45" s="7" t="s">
        <v>90</v>
      </c>
      <c r="G45" s="20" t="n">
        <f aca="false">D45/C45</f>
        <v>0.592574052503393</v>
      </c>
      <c r="H45" s="7" t="n">
        <v>0</v>
      </c>
      <c r="I45" s="10" t="n">
        <v>0.0664</v>
      </c>
      <c r="J45" s="7" t="n">
        <f aca="false">IF(I45&gt;=Assumptions!$B$9,1,0)</f>
        <v>0</v>
      </c>
      <c r="K45" s="7" t="s">
        <v>79</v>
      </c>
    </row>
    <row r="46" customFormat="false" ht="15" hidden="false" customHeight="false" outlineLevel="0" collapsed="false">
      <c r="A46" s="7" t="s">
        <v>126</v>
      </c>
      <c r="B46" s="7" t="n">
        <v>24</v>
      </c>
      <c r="C46" s="9" t="n">
        <v>91295</v>
      </c>
      <c r="D46" s="9" t="n">
        <v>8343</v>
      </c>
      <c r="E46" s="7" t="s">
        <v>81</v>
      </c>
      <c r="F46" s="7" t="s">
        <v>78</v>
      </c>
      <c r="G46" s="20" t="n">
        <f aca="false">D46/C46</f>
        <v>0.0913850703762528</v>
      </c>
      <c r="H46" s="7" t="n">
        <v>0</v>
      </c>
      <c r="I46" s="10" t="n">
        <v>0.0003</v>
      </c>
      <c r="J46" s="7" t="n">
        <f aca="false">IF(I46&gt;=Assumptions!$B$9,1,0)</f>
        <v>0</v>
      </c>
      <c r="K46" s="7" t="s">
        <v>79</v>
      </c>
    </row>
    <row r="47" customFormat="false" ht="15" hidden="false" customHeight="false" outlineLevel="0" collapsed="false">
      <c r="A47" s="7" t="s">
        <v>127</v>
      </c>
      <c r="B47" s="7" t="n">
        <v>45</v>
      </c>
      <c r="C47" s="9" t="n">
        <v>108614</v>
      </c>
      <c r="D47" s="9" t="n">
        <v>18500</v>
      </c>
      <c r="E47" s="7" t="s">
        <v>81</v>
      </c>
      <c r="F47" s="7" t="s">
        <v>90</v>
      </c>
      <c r="G47" s="20" t="n">
        <f aca="false">D47/C47</f>
        <v>0.170327950356308</v>
      </c>
      <c r="H47" s="7" t="n">
        <v>0</v>
      </c>
      <c r="I47" s="10" t="n">
        <v>0.0002</v>
      </c>
      <c r="J47" s="7" t="n">
        <f aca="false">IF(I47&gt;=Assumptions!$B$9,1,0)</f>
        <v>0</v>
      </c>
      <c r="K47" s="7" t="s">
        <v>84</v>
      </c>
    </row>
    <row r="48" customFormat="false" ht="15" hidden="false" customHeight="false" outlineLevel="0" collapsed="false">
      <c r="A48" s="7" t="s">
        <v>128</v>
      </c>
      <c r="B48" s="7" t="n">
        <v>34</v>
      </c>
      <c r="C48" s="9" t="n">
        <v>31111</v>
      </c>
      <c r="D48" s="9" t="n">
        <v>58222</v>
      </c>
      <c r="E48" s="7" t="s">
        <v>86</v>
      </c>
      <c r="F48" s="7" t="s">
        <v>82</v>
      </c>
      <c r="G48" s="20" t="n">
        <f aca="false">D48/C48</f>
        <v>1.87142811224326</v>
      </c>
      <c r="H48" s="7" t="n">
        <v>1</v>
      </c>
      <c r="I48" s="10" t="n">
        <v>0.9962</v>
      </c>
      <c r="J48" s="7" t="n">
        <f aca="false">IF(I48&gt;=Assumptions!$B$9,1,0)</f>
        <v>1</v>
      </c>
      <c r="K48" s="7" t="s">
        <v>79</v>
      </c>
    </row>
    <row r="49" customFormat="false" ht="15" hidden="false" customHeight="false" outlineLevel="0" collapsed="false">
      <c r="A49" s="7" t="s">
        <v>129</v>
      </c>
      <c r="B49" s="7" t="n">
        <v>29</v>
      </c>
      <c r="C49" s="9" t="n">
        <v>57504</v>
      </c>
      <c r="D49" s="9" t="n">
        <v>34375</v>
      </c>
      <c r="E49" s="7" t="s">
        <v>86</v>
      </c>
      <c r="F49" s="7" t="s">
        <v>90</v>
      </c>
      <c r="G49" s="20" t="n">
        <f aca="false">D49/C49</f>
        <v>0.597784501947691</v>
      </c>
      <c r="H49" s="7" t="n">
        <v>0</v>
      </c>
      <c r="I49" s="10" t="n">
        <v>0.0211</v>
      </c>
      <c r="J49" s="7" t="n">
        <f aca="false">IF(I49&gt;=Assumptions!$B$9,1,0)</f>
        <v>0</v>
      </c>
      <c r="K49" s="7" t="s">
        <v>79</v>
      </c>
    </row>
    <row r="50" customFormat="false" ht="15" hidden="false" customHeight="false" outlineLevel="0" collapsed="false">
      <c r="A50" s="7" t="s">
        <v>130</v>
      </c>
      <c r="B50" s="7" t="n">
        <v>46</v>
      </c>
      <c r="C50" s="9" t="n">
        <v>21802</v>
      </c>
      <c r="D50" s="9" t="n">
        <v>14662</v>
      </c>
      <c r="E50" s="7" t="s">
        <v>77</v>
      </c>
      <c r="F50" s="7" t="s">
        <v>78</v>
      </c>
      <c r="G50" s="20" t="n">
        <f aca="false">D50/C50</f>
        <v>0.672507109439501</v>
      </c>
      <c r="H50" s="7" t="n">
        <v>0</v>
      </c>
      <c r="I50" s="10" t="n">
        <v>0.3119</v>
      </c>
      <c r="J50" s="7" t="n">
        <f aca="false">IF(I50&gt;=Assumptions!$B$9,1,0)</f>
        <v>0</v>
      </c>
      <c r="K50" s="7" t="s">
        <v>79</v>
      </c>
    </row>
    <row r="51" customFormat="false" ht="15" hidden="false" customHeight="false" outlineLevel="0" collapsed="false">
      <c r="A51" s="7" t="s">
        <v>131</v>
      </c>
      <c r="B51" s="7" t="n">
        <v>22</v>
      </c>
      <c r="C51" s="9" t="n">
        <v>28155</v>
      </c>
      <c r="D51" s="9" t="n">
        <v>21964</v>
      </c>
      <c r="E51" s="7" t="s">
        <v>77</v>
      </c>
      <c r="F51" s="7" t="s">
        <v>82</v>
      </c>
      <c r="G51" s="20" t="n">
        <f aca="false">D51/C51</f>
        <v>0.780110104777127</v>
      </c>
      <c r="H51" s="7" t="n">
        <v>1</v>
      </c>
      <c r="I51" s="10" t="n">
        <v>0.9554</v>
      </c>
      <c r="J51" s="7" t="n">
        <f aca="false">IF(I51&gt;=Assumptions!$B$9,1,0)</f>
        <v>1</v>
      </c>
      <c r="K51" s="7" t="s">
        <v>84</v>
      </c>
    </row>
    <row r="52" customFormat="false" ht="15" hidden="false" customHeight="false" outlineLevel="0" collapsed="false">
      <c r="A52" s="7" t="s">
        <v>132</v>
      </c>
      <c r="B52" s="7" t="n">
        <v>40</v>
      </c>
      <c r="C52" s="9" t="n">
        <v>93656</v>
      </c>
      <c r="D52" s="9" t="n">
        <v>64638</v>
      </c>
      <c r="E52" s="7" t="s">
        <v>81</v>
      </c>
      <c r="F52" s="7" t="s">
        <v>78</v>
      </c>
      <c r="G52" s="20" t="n">
        <f aca="false">D52/C52</f>
        <v>0.690164004441787</v>
      </c>
      <c r="H52" s="7" t="n">
        <v>0</v>
      </c>
      <c r="I52" s="10" t="n">
        <v>0.0033</v>
      </c>
      <c r="J52" s="7" t="n">
        <f aca="false">IF(I52&gt;=Assumptions!$B$9,1,0)</f>
        <v>0</v>
      </c>
      <c r="K52" s="7" t="s">
        <v>79</v>
      </c>
    </row>
    <row r="53" customFormat="false" ht="15" hidden="false" customHeight="false" outlineLevel="0" collapsed="false">
      <c r="A53" s="7" t="s">
        <v>133</v>
      </c>
      <c r="B53" s="7" t="n">
        <v>48</v>
      </c>
      <c r="C53" s="9" t="n">
        <v>59384</v>
      </c>
      <c r="D53" s="9" t="n">
        <v>78666</v>
      </c>
      <c r="E53" s="7" t="s">
        <v>77</v>
      </c>
      <c r="F53" s="7" t="s">
        <v>82</v>
      </c>
      <c r="G53" s="20" t="n">
        <f aca="false">D53/C53</f>
        <v>1.3247002559612</v>
      </c>
      <c r="H53" s="7" t="n">
        <v>1</v>
      </c>
      <c r="I53" s="10" t="n">
        <v>0.9902</v>
      </c>
      <c r="J53" s="7" t="n">
        <f aca="false">IF(I53&gt;=Assumptions!$B$9,1,0)</f>
        <v>1</v>
      </c>
      <c r="K53" s="7" t="s">
        <v>79</v>
      </c>
    </row>
    <row r="54" customFormat="false" ht="15" hidden="false" customHeight="false" outlineLevel="0" collapsed="false">
      <c r="A54" s="7" t="s">
        <v>134</v>
      </c>
      <c r="B54" s="7" t="n">
        <v>27</v>
      </c>
      <c r="C54" s="9" t="n">
        <v>67254</v>
      </c>
      <c r="D54" s="9" t="n">
        <v>72215</v>
      </c>
      <c r="E54" s="7" t="s">
        <v>86</v>
      </c>
      <c r="F54" s="7" t="s">
        <v>82</v>
      </c>
      <c r="G54" s="20" t="n">
        <f aca="false">D54/C54</f>
        <v>1.07376512921165</v>
      </c>
      <c r="H54" s="7" t="n">
        <v>1</v>
      </c>
      <c r="I54" s="10" t="n">
        <v>0.8442</v>
      </c>
      <c r="J54" s="7" t="n">
        <f aca="false">IF(I54&gt;=Assumptions!$B$9,1,0)</f>
        <v>1</v>
      </c>
      <c r="K54" s="7" t="s">
        <v>84</v>
      </c>
    </row>
    <row r="55" customFormat="false" ht="15" hidden="false" customHeight="false" outlineLevel="0" collapsed="false">
      <c r="A55" s="7" t="s">
        <v>135</v>
      </c>
      <c r="B55" s="7" t="n">
        <v>64</v>
      </c>
      <c r="C55" s="9" t="n">
        <v>41918</v>
      </c>
      <c r="D55" s="9" t="n">
        <v>74042</v>
      </c>
      <c r="E55" s="7" t="s">
        <v>86</v>
      </c>
      <c r="F55" s="7" t="s">
        <v>90</v>
      </c>
      <c r="G55" s="20" t="n">
        <f aca="false">D55/C55</f>
        <v>1.76635335655327</v>
      </c>
      <c r="H55" s="7" t="n">
        <v>1</v>
      </c>
      <c r="I55" s="10" t="n">
        <v>0.7254</v>
      </c>
      <c r="J55" s="7" t="n">
        <f aca="false">IF(I55&gt;=Assumptions!$B$9,1,0)</f>
        <v>1</v>
      </c>
      <c r="K55" s="7" t="s">
        <v>79</v>
      </c>
    </row>
    <row r="56" customFormat="false" ht="15" hidden="false" customHeight="false" outlineLevel="0" collapsed="false">
      <c r="A56" s="7" t="s">
        <v>136</v>
      </c>
      <c r="B56" s="7" t="n">
        <v>28</v>
      </c>
      <c r="C56" s="9" t="n">
        <v>105981</v>
      </c>
      <c r="D56" s="9" t="n">
        <v>18284</v>
      </c>
      <c r="E56" s="7" t="s">
        <v>81</v>
      </c>
      <c r="F56" s="7" t="s">
        <v>90</v>
      </c>
      <c r="G56" s="20" t="n">
        <f aca="false">D56/C56</f>
        <v>0.172521489700984</v>
      </c>
      <c r="H56" s="7" t="n">
        <v>0</v>
      </c>
      <c r="I56" s="10" t="n">
        <v>0.0002</v>
      </c>
      <c r="J56" s="7" t="n">
        <f aca="false">IF(I56&gt;=Assumptions!$B$9,1,0)</f>
        <v>0</v>
      </c>
      <c r="K56" s="7" t="s">
        <v>79</v>
      </c>
    </row>
    <row r="57" customFormat="false" ht="15" hidden="false" customHeight="false" outlineLevel="0" collapsed="false">
      <c r="A57" s="7" t="s">
        <v>137</v>
      </c>
      <c r="B57" s="7" t="n">
        <v>55</v>
      </c>
      <c r="C57" s="9" t="n">
        <v>80713</v>
      </c>
      <c r="D57" s="9" t="n">
        <v>77789</v>
      </c>
      <c r="E57" s="7" t="s">
        <v>86</v>
      </c>
      <c r="F57" s="7" t="s">
        <v>78</v>
      </c>
      <c r="G57" s="20" t="n">
        <f aca="false">D57/C57</f>
        <v>0.963772874258174</v>
      </c>
      <c r="H57" s="7" t="n">
        <v>0</v>
      </c>
      <c r="I57" s="10" t="n">
        <v>0.0746</v>
      </c>
      <c r="J57" s="7" t="n">
        <f aca="false">IF(I57&gt;=Assumptions!$B$9,1,0)</f>
        <v>0</v>
      </c>
      <c r="K57" s="7" t="s">
        <v>84</v>
      </c>
    </row>
    <row r="58" customFormat="false" ht="15" hidden="false" customHeight="false" outlineLevel="0" collapsed="false">
      <c r="A58" s="7" t="s">
        <v>138</v>
      </c>
      <c r="B58" s="7" t="n">
        <v>34</v>
      </c>
      <c r="C58" s="9" t="n">
        <v>50306</v>
      </c>
      <c r="D58" s="9" t="n">
        <v>66389</v>
      </c>
      <c r="E58" s="7" t="s">
        <v>86</v>
      </c>
      <c r="F58" s="7" t="s">
        <v>90</v>
      </c>
      <c r="G58" s="20" t="n">
        <f aca="false">D58/C58</f>
        <v>1.31970341509959</v>
      </c>
      <c r="H58" s="7" t="n">
        <v>0</v>
      </c>
      <c r="I58" s="10" t="n">
        <v>0.3373</v>
      </c>
      <c r="J58" s="7" t="n">
        <f aca="false">IF(I58&gt;=Assumptions!$B$9,1,0)</f>
        <v>0</v>
      </c>
      <c r="K58" s="7" t="s">
        <v>79</v>
      </c>
    </row>
    <row r="59" customFormat="false" ht="15" hidden="false" customHeight="false" outlineLevel="0" collapsed="false">
      <c r="A59" s="7" t="s">
        <v>139</v>
      </c>
      <c r="B59" s="7" t="n">
        <v>37</v>
      </c>
      <c r="C59" s="9" t="n">
        <v>36646</v>
      </c>
      <c r="D59" s="9" t="n">
        <v>14435</v>
      </c>
      <c r="E59" s="7" t="s">
        <v>86</v>
      </c>
      <c r="F59" s="7" t="s">
        <v>90</v>
      </c>
      <c r="G59" s="20" t="n">
        <f aca="false">D59/C59</f>
        <v>0.393903836707963</v>
      </c>
      <c r="H59" s="7" t="n">
        <v>0</v>
      </c>
      <c r="I59" s="10" t="n">
        <v>0.0107</v>
      </c>
      <c r="J59" s="7" t="n">
        <f aca="false">IF(I59&gt;=Assumptions!$B$9,1,0)</f>
        <v>0</v>
      </c>
      <c r="K59" s="7" t="s">
        <v>79</v>
      </c>
    </row>
    <row r="60" customFormat="false" ht="15" hidden="false" customHeight="false" outlineLevel="0" collapsed="false">
      <c r="A60" s="7" t="s">
        <v>140</v>
      </c>
      <c r="B60" s="7" t="n">
        <v>56</v>
      </c>
      <c r="C60" s="9" t="n">
        <v>66843</v>
      </c>
      <c r="D60" s="9" t="n">
        <v>59340</v>
      </c>
      <c r="E60" s="7" t="s">
        <v>86</v>
      </c>
      <c r="F60" s="7" t="s">
        <v>82</v>
      </c>
      <c r="G60" s="20" t="n">
        <f aca="false">D60/C60</f>
        <v>0.88775189623446</v>
      </c>
      <c r="H60" s="7" t="n">
        <v>1</v>
      </c>
      <c r="I60" s="10" t="n">
        <v>0.6213</v>
      </c>
      <c r="J60" s="7" t="n">
        <f aca="false">IF(I60&gt;=Assumptions!$B$9,1,0)</f>
        <v>1</v>
      </c>
      <c r="K60" s="7" t="s">
        <v>79</v>
      </c>
    </row>
    <row r="61" customFormat="false" ht="15" hidden="false" customHeight="false" outlineLevel="0" collapsed="false">
      <c r="A61" s="7" t="s">
        <v>141</v>
      </c>
      <c r="B61" s="7" t="n">
        <v>60</v>
      </c>
      <c r="C61" s="9" t="n">
        <v>116601</v>
      </c>
      <c r="D61" s="9" t="n">
        <v>49078</v>
      </c>
      <c r="E61" s="7" t="s">
        <v>81</v>
      </c>
      <c r="F61" s="7" t="s">
        <v>90</v>
      </c>
      <c r="G61" s="20" t="n">
        <f aca="false">D61/C61</f>
        <v>0.420905481085068</v>
      </c>
      <c r="H61" s="7" t="n">
        <v>0</v>
      </c>
      <c r="I61" s="10" t="n">
        <v>0.0004</v>
      </c>
      <c r="J61" s="7" t="n">
        <f aca="false">IF(I61&gt;=Assumptions!$B$9,1,0)</f>
        <v>0</v>
      </c>
      <c r="K61" s="7" t="s">
        <v>79</v>
      </c>
    </row>
    <row r="62" customFormat="false" ht="15" hidden="false" customHeight="false" outlineLevel="0" collapsed="false">
      <c r="A62" s="7" t="s">
        <v>142</v>
      </c>
      <c r="B62" s="7" t="n">
        <v>24</v>
      </c>
      <c r="C62" s="9" t="n">
        <v>110735</v>
      </c>
      <c r="D62" s="9" t="n">
        <v>56293</v>
      </c>
      <c r="E62" s="7" t="s">
        <v>81</v>
      </c>
      <c r="F62" s="7" t="s">
        <v>82</v>
      </c>
      <c r="G62" s="20" t="n">
        <f aca="false">D62/C62</f>
        <v>0.508357791122951</v>
      </c>
      <c r="H62" s="7" t="n">
        <v>0</v>
      </c>
      <c r="I62" s="10" t="n">
        <v>0.0333</v>
      </c>
      <c r="J62" s="7" t="n">
        <f aca="false">IF(I62&gt;=Assumptions!$B$9,1,0)</f>
        <v>0</v>
      </c>
      <c r="K62" s="7" t="s">
        <v>84</v>
      </c>
    </row>
    <row r="63" customFormat="false" ht="15" hidden="false" customHeight="false" outlineLevel="0" collapsed="false">
      <c r="A63" s="7" t="s">
        <v>143</v>
      </c>
      <c r="B63" s="7" t="n">
        <v>22</v>
      </c>
      <c r="C63" s="9" t="n">
        <v>36371</v>
      </c>
      <c r="D63" s="9" t="n">
        <v>65403</v>
      </c>
      <c r="E63" s="7" t="s">
        <v>77</v>
      </c>
      <c r="F63" s="7" t="s">
        <v>82</v>
      </c>
      <c r="G63" s="20" t="n">
        <f aca="false">D63/C63</f>
        <v>1.79821836078194</v>
      </c>
      <c r="H63" s="7" t="n">
        <v>1</v>
      </c>
      <c r="I63" s="10" t="n">
        <v>0.9994</v>
      </c>
      <c r="J63" s="7" t="n">
        <f aca="false">IF(I63&gt;=Assumptions!$B$9,1,0)</f>
        <v>1</v>
      </c>
      <c r="K63" s="7" t="s">
        <v>79</v>
      </c>
    </row>
    <row r="64" customFormat="false" ht="15" hidden="false" customHeight="false" outlineLevel="0" collapsed="false">
      <c r="A64" s="7" t="s">
        <v>144</v>
      </c>
      <c r="B64" s="7" t="n">
        <v>26</v>
      </c>
      <c r="C64" s="9" t="n">
        <v>97371</v>
      </c>
      <c r="D64" s="9" t="n">
        <v>34124</v>
      </c>
      <c r="E64" s="7" t="s">
        <v>86</v>
      </c>
      <c r="F64" s="7" t="s">
        <v>82</v>
      </c>
      <c r="G64" s="20" t="n">
        <f aca="false">D64/C64</f>
        <v>0.350453420422919</v>
      </c>
      <c r="H64" s="7" t="n">
        <v>0</v>
      </c>
      <c r="I64" s="10" t="n">
        <v>0.1341</v>
      </c>
      <c r="J64" s="7" t="n">
        <f aca="false">IF(I64&gt;=Assumptions!$B$9,1,0)</f>
        <v>0</v>
      </c>
      <c r="K64" s="7" t="s">
        <v>79</v>
      </c>
    </row>
    <row r="65" customFormat="false" ht="15" hidden="false" customHeight="false" outlineLevel="0" collapsed="false">
      <c r="A65" s="7" t="s">
        <v>145</v>
      </c>
      <c r="B65" s="7" t="n">
        <v>62</v>
      </c>
      <c r="C65" s="9" t="n">
        <v>22049</v>
      </c>
      <c r="D65" s="9" t="n">
        <v>48919</v>
      </c>
      <c r="E65" s="7" t="s">
        <v>77</v>
      </c>
      <c r="F65" s="7" t="s">
        <v>78</v>
      </c>
      <c r="G65" s="20" t="n">
        <f aca="false">D65/C65</f>
        <v>2.2186493718536</v>
      </c>
      <c r="H65" s="7" t="n">
        <v>1</v>
      </c>
      <c r="I65" s="10" t="n">
        <v>0.9966</v>
      </c>
      <c r="J65" s="7" t="n">
        <f aca="false">IF(I65&gt;=Assumptions!$B$9,1,0)</f>
        <v>1</v>
      </c>
      <c r="K65" s="7" t="s">
        <v>79</v>
      </c>
    </row>
    <row r="66" customFormat="false" ht="15" hidden="false" customHeight="false" outlineLevel="0" collapsed="false">
      <c r="A66" s="7" t="s">
        <v>146</v>
      </c>
      <c r="B66" s="7" t="n">
        <v>24</v>
      </c>
      <c r="C66" s="9" t="n">
        <v>51616</v>
      </c>
      <c r="D66" s="9" t="n">
        <v>40247</v>
      </c>
      <c r="E66" s="7" t="s">
        <v>81</v>
      </c>
      <c r="F66" s="7" t="s">
        <v>78</v>
      </c>
      <c r="G66" s="20" t="n">
        <f aca="false">D66/C66</f>
        <v>0.77973884066956</v>
      </c>
      <c r="H66" s="7" t="n">
        <v>0</v>
      </c>
      <c r="I66" s="10" t="n">
        <v>0.0111</v>
      </c>
      <c r="J66" s="7" t="n">
        <f aca="false">IF(I66&gt;=Assumptions!$B$9,1,0)</f>
        <v>0</v>
      </c>
      <c r="K66" s="7" t="s">
        <v>79</v>
      </c>
    </row>
    <row r="67" customFormat="false" ht="15" hidden="false" customHeight="false" outlineLevel="0" collapsed="false">
      <c r="A67" s="7" t="s">
        <v>147</v>
      </c>
      <c r="B67" s="7" t="n">
        <v>49</v>
      </c>
      <c r="C67" s="9" t="n">
        <v>40932</v>
      </c>
      <c r="D67" s="9" t="n">
        <v>67752</v>
      </c>
      <c r="E67" s="7" t="s">
        <v>81</v>
      </c>
      <c r="F67" s="7" t="s">
        <v>78</v>
      </c>
      <c r="G67" s="20" t="n">
        <f aca="false">D67/C67</f>
        <v>1.65523306948109</v>
      </c>
      <c r="H67" s="7" t="n">
        <v>1</v>
      </c>
      <c r="I67" s="10" t="n">
        <v>0.2921</v>
      </c>
      <c r="J67" s="7" t="n">
        <f aca="false">IF(I67&gt;=Assumptions!$B$9,1,0)</f>
        <v>0</v>
      </c>
      <c r="K67" s="7" t="s">
        <v>79</v>
      </c>
    </row>
    <row r="68" customFormat="false" ht="15" hidden="false" customHeight="false" outlineLevel="0" collapsed="false">
      <c r="A68" s="7" t="s">
        <v>148</v>
      </c>
      <c r="B68" s="7" t="n">
        <v>38</v>
      </c>
      <c r="C68" s="9" t="n">
        <v>49855</v>
      </c>
      <c r="D68" s="9" t="n">
        <v>61573</v>
      </c>
      <c r="E68" s="7" t="s">
        <v>81</v>
      </c>
      <c r="F68" s="7" t="s">
        <v>82</v>
      </c>
      <c r="G68" s="20" t="n">
        <f aca="false">D68/C68</f>
        <v>1.23504162070003</v>
      </c>
      <c r="H68" s="7" t="n">
        <v>0</v>
      </c>
      <c r="I68" s="10" t="n">
        <v>0.6157</v>
      </c>
      <c r="J68" s="7" t="n">
        <f aca="false">IF(I68&gt;=Assumptions!$B$9,1,0)</f>
        <v>1</v>
      </c>
      <c r="K68" s="7" t="s">
        <v>79</v>
      </c>
    </row>
    <row r="69" customFormat="false" ht="15" hidden="false" customHeight="false" outlineLevel="0" collapsed="false">
      <c r="A69" s="7" t="s">
        <v>149</v>
      </c>
      <c r="B69" s="7" t="n">
        <v>46</v>
      </c>
      <c r="C69" s="9" t="n">
        <v>81434</v>
      </c>
      <c r="D69" s="9" t="n">
        <v>64101</v>
      </c>
      <c r="E69" s="7" t="s">
        <v>81</v>
      </c>
      <c r="F69" s="7" t="s">
        <v>78</v>
      </c>
      <c r="G69" s="20" t="n">
        <f aca="false">D69/C69</f>
        <v>0.787152786305474</v>
      </c>
      <c r="H69" s="7" t="n">
        <v>0</v>
      </c>
      <c r="I69" s="10" t="n">
        <v>0.0055</v>
      </c>
      <c r="J69" s="7" t="n">
        <f aca="false">IF(I69&gt;=Assumptions!$B$9,1,0)</f>
        <v>0</v>
      </c>
      <c r="K69" s="7" t="s">
        <v>79</v>
      </c>
    </row>
    <row r="70" customFormat="false" ht="15" hidden="false" customHeight="false" outlineLevel="0" collapsed="false">
      <c r="A70" s="7" t="s">
        <v>150</v>
      </c>
      <c r="B70" s="7" t="n">
        <v>64</v>
      </c>
      <c r="C70" s="9" t="n">
        <v>92694</v>
      </c>
      <c r="D70" s="9" t="n">
        <v>31646</v>
      </c>
      <c r="E70" s="7" t="s">
        <v>81</v>
      </c>
      <c r="F70" s="7" t="s">
        <v>78</v>
      </c>
      <c r="G70" s="20" t="n">
        <f aca="false">D70/C70</f>
        <v>0.341402895548795</v>
      </c>
      <c r="H70" s="7" t="n">
        <v>0</v>
      </c>
      <c r="I70" s="10" t="n">
        <v>0.0005</v>
      </c>
      <c r="J70" s="7" t="n">
        <f aca="false">IF(I70&gt;=Assumptions!$B$9,1,0)</f>
        <v>0</v>
      </c>
      <c r="K70" s="7" t="s">
        <v>84</v>
      </c>
    </row>
    <row r="71" customFormat="false" ht="15" hidden="false" customHeight="false" outlineLevel="0" collapsed="false">
      <c r="A71" s="7" t="s">
        <v>151</v>
      </c>
      <c r="B71" s="7" t="n">
        <v>54</v>
      </c>
      <c r="C71" s="9" t="n">
        <v>63016</v>
      </c>
      <c r="D71" s="9" t="n">
        <v>28049</v>
      </c>
      <c r="E71" s="7" t="s">
        <v>81</v>
      </c>
      <c r="F71" s="7" t="s">
        <v>90</v>
      </c>
      <c r="G71" s="20" t="n">
        <f aca="false">D71/C71</f>
        <v>0.445109178621303</v>
      </c>
      <c r="H71" s="7" t="n">
        <v>0</v>
      </c>
      <c r="I71" s="10" t="n">
        <v>0.001</v>
      </c>
      <c r="J71" s="7" t="n">
        <f aca="false">IF(I71&gt;=Assumptions!$B$9,1,0)</f>
        <v>0</v>
      </c>
      <c r="K71" s="7" t="s">
        <v>79</v>
      </c>
    </row>
    <row r="72" customFormat="false" ht="15" hidden="false" customHeight="false" outlineLevel="0" collapsed="false">
      <c r="A72" s="7" t="s">
        <v>152</v>
      </c>
      <c r="B72" s="7" t="n">
        <v>30</v>
      </c>
      <c r="C72" s="9" t="n">
        <v>27400</v>
      </c>
      <c r="D72" s="9" t="n">
        <v>73385</v>
      </c>
      <c r="E72" s="7" t="s">
        <v>81</v>
      </c>
      <c r="F72" s="7" t="s">
        <v>78</v>
      </c>
      <c r="G72" s="20" t="n">
        <f aca="false">D72/C72</f>
        <v>2.67828467153285</v>
      </c>
      <c r="H72" s="7" t="n">
        <v>1</v>
      </c>
      <c r="I72" s="10" t="n">
        <v>0.982</v>
      </c>
      <c r="J72" s="7" t="n">
        <f aca="false">IF(I72&gt;=Assumptions!$B$9,1,0)</f>
        <v>1</v>
      </c>
      <c r="K72" s="7" t="s">
        <v>79</v>
      </c>
    </row>
    <row r="73" customFormat="false" ht="15" hidden="false" customHeight="false" outlineLevel="0" collapsed="false">
      <c r="A73" s="7" t="s">
        <v>153</v>
      </c>
      <c r="B73" s="7" t="n">
        <v>56</v>
      </c>
      <c r="C73" s="9" t="n">
        <v>62642</v>
      </c>
      <c r="D73" s="9" t="n">
        <v>45158</v>
      </c>
      <c r="E73" s="7" t="s">
        <v>86</v>
      </c>
      <c r="F73" s="7" t="s">
        <v>78</v>
      </c>
      <c r="G73" s="20" t="n">
        <f aca="false">D73/C73</f>
        <v>0.720890137607356</v>
      </c>
      <c r="H73" s="7" t="n">
        <v>0</v>
      </c>
      <c r="I73" s="10" t="n">
        <v>0.0348</v>
      </c>
      <c r="J73" s="7" t="n">
        <f aca="false">IF(I73&gt;=Assumptions!$B$9,1,0)</f>
        <v>0</v>
      </c>
      <c r="K73" s="7" t="s">
        <v>84</v>
      </c>
    </row>
    <row r="74" customFormat="false" ht="15" hidden="false" customHeight="false" outlineLevel="0" collapsed="false">
      <c r="A74" s="7" t="s">
        <v>154</v>
      </c>
      <c r="B74" s="7" t="n">
        <v>34</v>
      </c>
      <c r="C74" s="9" t="n">
        <v>35151</v>
      </c>
      <c r="D74" s="9" t="n">
        <v>70417</v>
      </c>
      <c r="E74" s="7" t="s">
        <v>77</v>
      </c>
      <c r="F74" s="7" t="s">
        <v>82</v>
      </c>
      <c r="G74" s="20" t="n">
        <f aca="false">D74/C74</f>
        <v>2.00327159967</v>
      </c>
      <c r="H74" s="7" t="n">
        <v>1</v>
      </c>
      <c r="I74" s="10" t="n">
        <v>0.9997</v>
      </c>
      <c r="J74" s="7" t="n">
        <f aca="false">IF(I74&gt;=Assumptions!$B$9,1,0)</f>
        <v>1</v>
      </c>
      <c r="K74" s="7" t="s">
        <v>79</v>
      </c>
    </row>
    <row r="75" customFormat="false" ht="15" hidden="false" customHeight="false" outlineLevel="0" collapsed="false">
      <c r="A75" s="7" t="s">
        <v>155</v>
      </c>
      <c r="B75" s="7" t="n">
        <v>51</v>
      </c>
      <c r="C75" s="9" t="n">
        <v>71407</v>
      </c>
      <c r="D75" s="9" t="n">
        <v>28289</v>
      </c>
      <c r="E75" s="7" t="s">
        <v>81</v>
      </c>
      <c r="F75" s="7" t="s">
        <v>82</v>
      </c>
      <c r="G75" s="20" t="n">
        <f aca="false">D75/C75</f>
        <v>0.396165642023891</v>
      </c>
      <c r="H75" s="7" t="n">
        <v>0</v>
      </c>
      <c r="I75" s="10" t="n">
        <v>0.0253</v>
      </c>
      <c r="J75" s="7" t="n">
        <f aca="false">IF(I75&gt;=Assumptions!$B$9,1,0)</f>
        <v>0</v>
      </c>
      <c r="K75" s="7" t="s">
        <v>79</v>
      </c>
    </row>
    <row r="76" customFormat="false" ht="15" hidden="false" customHeight="false" outlineLevel="0" collapsed="false">
      <c r="A76" s="7" t="s">
        <v>156</v>
      </c>
      <c r="B76" s="7" t="n">
        <v>35</v>
      </c>
      <c r="C76" s="9" t="n">
        <v>86690</v>
      </c>
      <c r="D76" s="9" t="n">
        <v>14823</v>
      </c>
      <c r="E76" s="7" t="s">
        <v>86</v>
      </c>
      <c r="F76" s="7" t="s">
        <v>82</v>
      </c>
      <c r="G76" s="20" t="n">
        <f aca="false">D76/C76</f>
        <v>0.170988579997693</v>
      </c>
      <c r="H76" s="7" t="n">
        <v>0</v>
      </c>
      <c r="I76" s="10" t="n">
        <v>0.0685</v>
      </c>
      <c r="J76" s="7" t="n">
        <f aca="false">IF(I76&gt;=Assumptions!$B$9,1,0)</f>
        <v>0</v>
      </c>
      <c r="K76" s="7" t="s">
        <v>84</v>
      </c>
    </row>
    <row r="77" customFormat="false" ht="15" hidden="false" customHeight="false" outlineLevel="0" collapsed="false">
      <c r="A77" s="7" t="s">
        <v>157</v>
      </c>
      <c r="B77" s="7" t="n">
        <v>28</v>
      </c>
      <c r="C77" s="9" t="n">
        <v>24499</v>
      </c>
      <c r="D77" s="9" t="n">
        <v>65160</v>
      </c>
      <c r="E77" s="7" t="s">
        <v>86</v>
      </c>
      <c r="F77" s="7" t="s">
        <v>82</v>
      </c>
      <c r="G77" s="20" t="n">
        <f aca="false">D77/C77</f>
        <v>2.65970039593453</v>
      </c>
      <c r="H77" s="7" t="n">
        <v>1</v>
      </c>
      <c r="I77" s="10" t="n">
        <v>0.9999</v>
      </c>
      <c r="J77" s="7" t="n">
        <f aca="false">IF(I77&gt;=Assumptions!$B$9,1,0)</f>
        <v>1</v>
      </c>
      <c r="K77" s="7" t="s">
        <v>84</v>
      </c>
    </row>
    <row r="78" customFormat="false" ht="15" hidden="false" customHeight="false" outlineLevel="0" collapsed="false">
      <c r="A78" s="7" t="s">
        <v>158</v>
      </c>
      <c r="B78" s="7" t="n">
        <v>34</v>
      </c>
      <c r="C78" s="9" t="n">
        <v>26295</v>
      </c>
      <c r="D78" s="9" t="n">
        <v>46975</v>
      </c>
      <c r="E78" s="7" t="s">
        <v>77</v>
      </c>
      <c r="F78" s="7" t="s">
        <v>82</v>
      </c>
      <c r="G78" s="20" t="n">
        <f aca="false">D78/C78</f>
        <v>1.7864613044305</v>
      </c>
      <c r="H78" s="7" t="n">
        <v>1</v>
      </c>
      <c r="I78" s="10" t="n">
        <v>0.9993</v>
      </c>
      <c r="J78" s="7" t="n">
        <f aca="false">IF(I78&gt;=Assumptions!$B$9,1,0)</f>
        <v>1</v>
      </c>
      <c r="K78" s="7" t="s">
        <v>79</v>
      </c>
    </row>
    <row r="79" customFormat="false" ht="15" hidden="false" customHeight="false" outlineLevel="0" collapsed="false">
      <c r="A79" s="7" t="s">
        <v>159</v>
      </c>
      <c r="B79" s="7" t="n">
        <v>43</v>
      </c>
      <c r="C79" s="9" t="n">
        <v>79040</v>
      </c>
      <c r="D79" s="9" t="n">
        <v>14540</v>
      </c>
      <c r="E79" s="7" t="s">
        <v>81</v>
      </c>
      <c r="F79" s="7" t="s">
        <v>82</v>
      </c>
      <c r="G79" s="20" t="n">
        <f aca="false">D79/C79</f>
        <v>0.183957489878543</v>
      </c>
      <c r="H79" s="7" t="n">
        <v>0</v>
      </c>
      <c r="I79" s="10" t="n">
        <v>0.0102</v>
      </c>
      <c r="J79" s="7" t="n">
        <f aca="false">IF(I79&gt;=Assumptions!$B$9,1,0)</f>
        <v>0</v>
      </c>
      <c r="K79" s="7" t="s">
        <v>79</v>
      </c>
    </row>
    <row r="80" customFormat="false" ht="15" hidden="false" customHeight="false" outlineLevel="0" collapsed="false">
      <c r="A80" s="7" t="s">
        <v>160</v>
      </c>
      <c r="B80" s="7" t="n">
        <v>60</v>
      </c>
      <c r="C80" s="9" t="n">
        <v>32183</v>
      </c>
      <c r="D80" s="9" t="n">
        <v>21364</v>
      </c>
      <c r="E80" s="7" t="s">
        <v>77</v>
      </c>
      <c r="F80" s="7" t="s">
        <v>78</v>
      </c>
      <c r="G80" s="20" t="n">
        <f aca="false">D80/C80</f>
        <v>0.663828729453438</v>
      </c>
      <c r="H80" s="7" t="n">
        <v>0</v>
      </c>
      <c r="I80" s="10" t="n">
        <v>0.2369</v>
      </c>
      <c r="J80" s="7" t="n">
        <f aca="false">IF(I80&gt;=Assumptions!$B$9,1,0)</f>
        <v>0</v>
      </c>
      <c r="K80" s="7" t="s">
        <v>84</v>
      </c>
    </row>
    <row r="81" customFormat="false" ht="15" hidden="false" customHeight="false" outlineLevel="0" collapsed="false">
      <c r="A81" s="7" t="s">
        <v>161</v>
      </c>
      <c r="B81" s="7" t="n">
        <v>41</v>
      </c>
      <c r="C81" s="9" t="n">
        <v>49299</v>
      </c>
      <c r="D81" s="9" t="n">
        <v>9611</v>
      </c>
      <c r="E81" s="7" t="s">
        <v>81</v>
      </c>
      <c r="F81" s="7" t="s">
        <v>82</v>
      </c>
      <c r="G81" s="20" t="n">
        <f aca="false">D81/C81</f>
        <v>0.194953244487718</v>
      </c>
      <c r="H81" s="7" t="n">
        <v>0</v>
      </c>
      <c r="I81" s="10" t="n">
        <v>0.0169</v>
      </c>
      <c r="J81" s="7" t="n">
        <f aca="false">IF(I81&gt;=Assumptions!$B$9,1,0)</f>
        <v>0</v>
      </c>
      <c r="K81" s="7" t="s">
        <v>79</v>
      </c>
    </row>
    <row r="82" customFormat="false" ht="15" hidden="false" customHeight="false" outlineLevel="0" collapsed="false">
      <c r="A82" s="7" t="s">
        <v>162</v>
      </c>
      <c r="B82" s="7" t="n">
        <v>36</v>
      </c>
      <c r="C82" s="9" t="n">
        <v>32874</v>
      </c>
      <c r="D82" s="9" t="n">
        <v>32663</v>
      </c>
      <c r="E82" s="7" t="s">
        <v>86</v>
      </c>
      <c r="F82" s="7" t="s">
        <v>82</v>
      </c>
      <c r="G82" s="20" t="n">
        <f aca="false">D82/C82</f>
        <v>0.993581553811523</v>
      </c>
      <c r="H82" s="7" t="n">
        <v>1</v>
      </c>
      <c r="I82" s="10" t="n">
        <v>0.8479</v>
      </c>
      <c r="J82" s="7" t="n">
        <f aca="false">IF(I82&gt;=Assumptions!$B$9,1,0)</f>
        <v>1</v>
      </c>
      <c r="K82" s="7" t="s">
        <v>79</v>
      </c>
    </row>
    <row r="83" customFormat="false" ht="15" hidden="false" customHeight="false" outlineLevel="0" collapsed="false">
      <c r="A83" s="7" t="s">
        <v>163</v>
      </c>
      <c r="B83" s="7" t="n">
        <v>38</v>
      </c>
      <c r="C83" s="9" t="n">
        <v>52711</v>
      </c>
      <c r="D83" s="9" t="n">
        <v>56991</v>
      </c>
      <c r="E83" s="7" t="s">
        <v>86</v>
      </c>
      <c r="F83" s="7" t="s">
        <v>90</v>
      </c>
      <c r="G83" s="20" t="n">
        <f aca="false">D83/C83</f>
        <v>1.08119747301322</v>
      </c>
      <c r="H83" s="7" t="n">
        <v>0</v>
      </c>
      <c r="I83" s="10" t="n">
        <v>0.1422</v>
      </c>
      <c r="J83" s="7" t="n">
        <f aca="false">IF(I83&gt;=Assumptions!$B$9,1,0)</f>
        <v>0</v>
      </c>
      <c r="K83" s="7" t="s">
        <v>84</v>
      </c>
    </row>
    <row r="84" customFormat="false" ht="15" hidden="false" customHeight="false" outlineLevel="0" collapsed="false">
      <c r="A84" s="7" t="s">
        <v>164</v>
      </c>
      <c r="B84" s="7" t="n">
        <v>44</v>
      </c>
      <c r="C84" s="9" t="n">
        <v>25539</v>
      </c>
      <c r="D84" s="9" t="n">
        <v>62679</v>
      </c>
      <c r="E84" s="7" t="s">
        <v>86</v>
      </c>
      <c r="F84" s="7" t="s">
        <v>78</v>
      </c>
      <c r="G84" s="20" t="n">
        <f aca="false">D84/C84</f>
        <v>2.45424644661107</v>
      </c>
      <c r="H84" s="7" t="n">
        <v>1</v>
      </c>
      <c r="I84" s="10" t="n">
        <v>0.9925</v>
      </c>
      <c r="J84" s="7" t="n">
        <f aca="false">IF(I84&gt;=Assumptions!$B$9,1,0)</f>
        <v>1</v>
      </c>
      <c r="K84" s="7" t="s">
        <v>84</v>
      </c>
    </row>
    <row r="85" customFormat="false" ht="15" hidden="false" customHeight="false" outlineLevel="0" collapsed="false">
      <c r="A85" s="7" t="s">
        <v>165</v>
      </c>
      <c r="B85" s="7" t="n">
        <v>46</v>
      </c>
      <c r="C85" s="9" t="n">
        <v>73351</v>
      </c>
      <c r="D85" s="9" t="n">
        <v>35977</v>
      </c>
      <c r="E85" s="7" t="s">
        <v>86</v>
      </c>
      <c r="F85" s="7" t="s">
        <v>78</v>
      </c>
      <c r="G85" s="20" t="n">
        <f aca="false">D85/C85</f>
        <v>0.49047729410642</v>
      </c>
      <c r="H85" s="7" t="n">
        <v>0</v>
      </c>
      <c r="I85" s="10" t="n">
        <v>0.0129</v>
      </c>
      <c r="J85" s="7" t="n">
        <f aca="false">IF(I85&gt;=Assumptions!$B$9,1,0)</f>
        <v>0</v>
      </c>
      <c r="K85" s="7" t="s">
        <v>79</v>
      </c>
    </row>
    <row r="86" customFormat="false" ht="15" hidden="false" customHeight="false" outlineLevel="0" collapsed="false">
      <c r="A86" s="7" t="s">
        <v>166</v>
      </c>
      <c r="B86" s="7" t="n">
        <v>45</v>
      </c>
      <c r="C86" s="9" t="n">
        <v>81267</v>
      </c>
      <c r="D86" s="9" t="n">
        <v>54115</v>
      </c>
      <c r="E86" s="7" t="s">
        <v>77</v>
      </c>
      <c r="F86" s="7" t="s">
        <v>78</v>
      </c>
      <c r="G86" s="20" t="n">
        <f aca="false">D86/C86</f>
        <v>0.665891444251664</v>
      </c>
      <c r="H86" s="7" t="n">
        <v>0</v>
      </c>
      <c r="I86" s="10" t="n">
        <v>0.1587</v>
      </c>
      <c r="J86" s="7" t="n">
        <f aca="false">IF(I86&gt;=Assumptions!$B$9,1,0)</f>
        <v>0</v>
      </c>
      <c r="K86" s="7" t="s">
        <v>79</v>
      </c>
    </row>
    <row r="87" customFormat="false" ht="15" hidden="false" customHeight="false" outlineLevel="0" collapsed="false">
      <c r="A87" s="7" t="s">
        <v>167</v>
      </c>
      <c r="B87" s="7" t="n">
        <v>61</v>
      </c>
      <c r="C87" s="9" t="n">
        <v>68354</v>
      </c>
      <c r="D87" s="9" t="n">
        <v>65890</v>
      </c>
      <c r="E87" s="7" t="s">
        <v>81</v>
      </c>
      <c r="F87" s="7" t="s">
        <v>82</v>
      </c>
      <c r="G87" s="20" t="n">
        <f aca="false">D87/C87</f>
        <v>0.963952365626006</v>
      </c>
      <c r="H87" s="7" t="n">
        <v>0</v>
      </c>
      <c r="I87" s="10" t="n">
        <v>0.2168</v>
      </c>
      <c r="J87" s="7" t="n">
        <f aca="false">IF(I87&gt;=Assumptions!$B$9,1,0)</f>
        <v>0</v>
      </c>
      <c r="K87" s="7" t="s">
        <v>84</v>
      </c>
    </row>
    <row r="88" customFormat="false" ht="15" hidden="false" customHeight="false" outlineLevel="0" collapsed="false">
      <c r="A88" s="7" t="s">
        <v>168</v>
      </c>
      <c r="B88" s="7" t="n">
        <v>49</v>
      </c>
      <c r="C88" s="9" t="n">
        <v>22557</v>
      </c>
      <c r="D88" s="9" t="n">
        <v>71387</v>
      </c>
      <c r="E88" s="7" t="s">
        <v>81</v>
      </c>
      <c r="F88" s="7" t="s">
        <v>82</v>
      </c>
      <c r="G88" s="20" t="n">
        <f aca="false">D88/C88</f>
        <v>3.16473821873476</v>
      </c>
      <c r="H88" s="7" t="n">
        <v>1</v>
      </c>
      <c r="I88" s="10" t="n">
        <v>0.9999</v>
      </c>
      <c r="J88" s="7" t="n">
        <f aca="false">IF(I88&gt;=Assumptions!$B$9,1,0)</f>
        <v>1</v>
      </c>
      <c r="K88" s="7" t="s">
        <v>79</v>
      </c>
    </row>
    <row r="89" customFormat="false" ht="15" hidden="false" customHeight="false" outlineLevel="0" collapsed="false">
      <c r="A89" s="7" t="s">
        <v>169</v>
      </c>
      <c r="B89" s="7" t="n">
        <v>35</v>
      </c>
      <c r="C89" s="9" t="n">
        <v>58360</v>
      </c>
      <c r="D89" s="9" t="n">
        <v>23071</v>
      </c>
      <c r="E89" s="7" t="s">
        <v>77</v>
      </c>
      <c r="F89" s="7" t="s">
        <v>82</v>
      </c>
      <c r="G89" s="20" t="n">
        <f aca="false">D89/C89</f>
        <v>0.395322138450994</v>
      </c>
      <c r="H89" s="7" t="n">
        <v>1</v>
      </c>
      <c r="I89" s="10" t="n">
        <v>0.6866</v>
      </c>
      <c r="J89" s="7" t="n">
        <f aca="false">IF(I89&gt;=Assumptions!$B$9,1,0)</f>
        <v>1</v>
      </c>
      <c r="K89" s="7" t="s">
        <v>79</v>
      </c>
    </row>
    <row r="90" customFormat="false" ht="15" hidden="false" customHeight="false" outlineLevel="0" collapsed="false">
      <c r="A90" s="7" t="s">
        <v>170</v>
      </c>
      <c r="B90" s="7" t="n">
        <v>21</v>
      </c>
      <c r="C90" s="9" t="n">
        <v>102018</v>
      </c>
      <c r="D90" s="9" t="n">
        <v>64275</v>
      </c>
      <c r="E90" s="7" t="s">
        <v>81</v>
      </c>
      <c r="F90" s="7" t="s">
        <v>90</v>
      </c>
      <c r="G90" s="20" t="n">
        <f aca="false">D90/C90</f>
        <v>0.630035876021879</v>
      </c>
      <c r="H90" s="7" t="n">
        <v>0</v>
      </c>
      <c r="I90" s="10" t="n">
        <v>0.0019</v>
      </c>
      <c r="J90" s="7" t="n">
        <f aca="false">IF(I90&gt;=Assumptions!$B$9,1,0)</f>
        <v>0</v>
      </c>
      <c r="K90" s="7" t="s">
        <v>84</v>
      </c>
    </row>
    <row r="91" customFormat="false" ht="15" hidden="false" customHeight="false" outlineLevel="0" collapsed="false">
      <c r="A91" s="7" t="s">
        <v>171</v>
      </c>
      <c r="B91" s="7" t="n">
        <v>45</v>
      </c>
      <c r="C91" s="9" t="n">
        <v>22200</v>
      </c>
      <c r="D91" s="9" t="n">
        <v>77369</v>
      </c>
      <c r="E91" s="7" t="s">
        <v>86</v>
      </c>
      <c r="F91" s="7" t="s">
        <v>82</v>
      </c>
      <c r="G91" s="20" t="n">
        <f aca="false">D91/C91</f>
        <v>3.48509009009009</v>
      </c>
      <c r="H91" s="7" t="n">
        <v>1</v>
      </c>
      <c r="I91" s="10" t="n">
        <v>1</v>
      </c>
      <c r="J91" s="7" t="n">
        <f aca="false">IF(I91&gt;=Assumptions!$B$9,1,0)</f>
        <v>1</v>
      </c>
      <c r="K91" s="7" t="s">
        <v>84</v>
      </c>
    </row>
    <row r="92" customFormat="false" ht="15" hidden="false" customHeight="false" outlineLevel="0" collapsed="false">
      <c r="A92" s="7" t="s">
        <v>172</v>
      </c>
      <c r="B92" s="7" t="n">
        <v>27</v>
      </c>
      <c r="C92" s="9" t="n">
        <v>88497</v>
      </c>
      <c r="D92" s="9" t="n">
        <v>16938</v>
      </c>
      <c r="E92" s="7" t="s">
        <v>81</v>
      </c>
      <c r="F92" s="7" t="s">
        <v>90</v>
      </c>
      <c r="G92" s="20" t="n">
        <f aca="false">D92/C92</f>
        <v>0.191396318519272</v>
      </c>
      <c r="H92" s="7" t="n">
        <v>0</v>
      </c>
      <c r="I92" s="10" t="n">
        <v>0.0003</v>
      </c>
      <c r="J92" s="7" t="n">
        <f aca="false">IF(I92&gt;=Assumptions!$B$9,1,0)</f>
        <v>0</v>
      </c>
      <c r="K92" s="7" t="s">
        <v>84</v>
      </c>
    </row>
    <row r="93" customFormat="false" ht="15" hidden="false" customHeight="false" outlineLevel="0" collapsed="false">
      <c r="A93" s="7" t="s">
        <v>173</v>
      </c>
      <c r="B93" s="7" t="n">
        <v>29</v>
      </c>
      <c r="C93" s="9" t="n">
        <v>66975</v>
      </c>
      <c r="D93" s="9" t="n">
        <v>40195</v>
      </c>
      <c r="E93" s="7" t="s">
        <v>86</v>
      </c>
      <c r="F93" s="7" t="s">
        <v>78</v>
      </c>
      <c r="G93" s="20" t="n">
        <f aca="false">D93/C93</f>
        <v>0.600149309443822</v>
      </c>
      <c r="H93" s="7" t="n">
        <v>0</v>
      </c>
      <c r="I93" s="10" t="n">
        <v>0.0282</v>
      </c>
      <c r="J93" s="7" t="n">
        <f aca="false">IF(I93&gt;=Assumptions!$B$9,1,0)</f>
        <v>0</v>
      </c>
      <c r="K93" s="7" t="s">
        <v>79</v>
      </c>
    </row>
    <row r="94" customFormat="false" ht="15" hidden="false" customHeight="false" outlineLevel="0" collapsed="false">
      <c r="A94" s="7" t="s">
        <v>174</v>
      </c>
      <c r="B94" s="7" t="n">
        <v>44</v>
      </c>
      <c r="C94" s="9" t="n">
        <v>41357</v>
      </c>
      <c r="D94" s="9" t="n">
        <v>9000</v>
      </c>
      <c r="E94" s="7" t="s">
        <v>77</v>
      </c>
      <c r="F94" s="7" t="s">
        <v>82</v>
      </c>
      <c r="G94" s="20" t="n">
        <f aca="false">D94/C94</f>
        <v>0.21761733201151</v>
      </c>
      <c r="H94" s="7" t="n">
        <v>1</v>
      </c>
      <c r="I94" s="10" t="n">
        <v>0.5346</v>
      </c>
      <c r="J94" s="7" t="n">
        <f aca="false">IF(I94&gt;=Assumptions!$B$9,1,0)</f>
        <v>1</v>
      </c>
      <c r="K94" s="7" t="s">
        <v>84</v>
      </c>
    </row>
    <row r="95" customFormat="false" ht="15" hidden="false" customHeight="false" outlineLevel="0" collapsed="false">
      <c r="A95" s="7" t="s">
        <v>175</v>
      </c>
      <c r="B95" s="7" t="n">
        <v>21</v>
      </c>
      <c r="C95" s="9" t="n">
        <v>97505</v>
      </c>
      <c r="D95" s="9" t="n">
        <v>75588</v>
      </c>
      <c r="E95" s="7" t="s">
        <v>81</v>
      </c>
      <c r="F95" s="7" t="s">
        <v>90</v>
      </c>
      <c r="G95" s="20" t="n">
        <f aca="false">D95/C95</f>
        <v>0.775221783498282</v>
      </c>
      <c r="H95" s="7" t="n">
        <v>0</v>
      </c>
      <c r="I95" s="10" t="n">
        <v>0.0038</v>
      </c>
      <c r="J95" s="7" t="n">
        <f aca="false">IF(I95&gt;=Assumptions!$B$9,1,0)</f>
        <v>0</v>
      </c>
      <c r="K95" s="7" t="s">
        <v>84</v>
      </c>
    </row>
    <row r="96" customFormat="false" ht="15" hidden="false" customHeight="false" outlineLevel="0" collapsed="false">
      <c r="A96" s="7" t="s">
        <v>176</v>
      </c>
      <c r="B96" s="7" t="n">
        <v>64</v>
      </c>
      <c r="C96" s="9" t="n">
        <v>22869</v>
      </c>
      <c r="D96" s="9" t="n">
        <v>43304</v>
      </c>
      <c r="E96" s="7" t="s">
        <v>77</v>
      </c>
      <c r="F96" s="7" t="s">
        <v>90</v>
      </c>
      <c r="G96" s="20" t="n">
        <f aca="false">D96/C96</f>
        <v>1.89356771174953</v>
      </c>
      <c r="H96" s="7" t="n">
        <v>1</v>
      </c>
      <c r="I96" s="10" t="n">
        <v>0.9784</v>
      </c>
      <c r="J96" s="7" t="n">
        <f aca="false">IF(I96&gt;=Assumptions!$B$9,1,0)</f>
        <v>1</v>
      </c>
      <c r="K96" s="7" t="s">
        <v>79</v>
      </c>
    </row>
    <row r="97" customFormat="false" ht="15" hidden="false" customHeight="false" outlineLevel="0" collapsed="false">
      <c r="A97" s="7" t="s">
        <v>177</v>
      </c>
      <c r="B97" s="7" t="n">
        <v>28</v>
      </c>
      <c r="C97" s="9" t="n">
        <v>81135</v>
      </c>
      <c r="D97" s="9" t="n">
        <v>74449</v>
      </c>
      <c r="E97" s="7" t="s">
        <v>81</v>
      </c>
      <c r="F97" s="7" t="s">
        <v>82</v>
      </c>
      <c r="G97" s="20" t="n">
        <f aca="false">D97/C97</f>
        <v>0.917594133234732</v>
      </c>
      <c r="H97" s="7" t="n">
        <v>0</v>
      </c>
      <c r="I97" s="10" t="n">
        <v>0.2279</v>
      </c>
      <c r="J97" s="7" t="n">
        <f aca="false">IF(I97&gt;=Assumptions!$B$9,1,0)</f>
        <v>0</v>
      </c>
      <c r="K97" s="7" t="s">
        <v>79</v>
      </c>
    </row>
    <row r="98" customFormat="false" ht="15" hidden="false" customHeight="false" outlineLevel="0" collapsed="false">
      <c r="A98" s="7" t="s">
        <v>178</v>
      </c>
      <c r="B98" s="7" t="n">
        <v>44</v>
      </c>
      <c r="C98" s="9" t="n">
        <v>70108</v>
      </c>
      <c r="D98" s="9" t="n">
        <v>25764</v>
      </c>
      <c r="E98" s="7" t="s">
        <v>86</v>
      </c>
      <c r="F98" s="7" t="s">
        <v>78</v>
      </c>
      <c r="G98" s="20" t="n">
        <f aca="false">D98/C98</f>
        <v>0.367490158041878</v>
      </c>
      <c r="H98" s="7" t="n">
        <v>0</v>
      </c>
      <c r="I98" s="10" t="n">
        <v>0.0082</v>
      </c>
      <c r="J98" s="7" t="n">
        <f aca="false">IF(I98&gt;=Assumptions!$B$9,1,0)</f>
        <v>0</v>
      </c>
      <c r="K98" s="7" t="s">
        <v>84</v>
      </c>
    </row>
    <row r="99" customFormat="false" ht="15" hidden="false" customHeight="false" outlineLevel="0" collapsed="false">
      <c r="A99" s="7" t="s">
        <v>179</v>
      </c>
      <c r="B99" s="7" t="n">
        <v>31</v>
      </c>
      <c r="C99" s="9" t="n">
        <v>114179</v>
      </c>
      <c r="D99" s="9" t="n">
        <v>43494</v>
      </c>
      <c r="E99" s="7" t="s">
        <v>77</v>
      </c>
      <c r="F99" s="7" t="s">
        <v>78</v>
      </c>
      <c r="G99" s="20" t="n">
        <f aca="false">D99/C99</f>
        <v>0.380928191698999</v>
      </c>
      <c r="H99" s="7" t="n">
        <v>0</v>
      </c>
      <c r="I99" s="10" t="n">
        <v>0.0396</v>
      </c>
      <c r="J99" s="7" t="n">
        <f aca="false">IF(I99&gt;=Assumptions!$B$9,1,0)</f>
        <v>0</v>
      </c>
      <c r="K99" s="7" t="s">
        <v>79</v>
      </c>
    </row>
    <row r="100" customFormat="false" ht="15" hidden="false" customHeight="false" outlineLevel="0" collapsed="false">
      <c r="A100" s="7" t="s">
        <v>180</v>
      </c>
      <c r="B100" s="7" t="n">
        <v>37</v>
      </c>
      <c r="C100" s="9" t="n">
        <v>110272</v>
      </c>
      <c r="D100" s="9" t="n">
        <v>8373</v>
      </c>
      <c r="E100" s="7" t="s">
        <v>81</v>
      </c>
      <c r="F100" s="7" t="s">
        <v>78</v>
      </c>
      <c r="G100" s="20" t="n">
        <f aca="false">D100/C100</f>
        <v>0.0759304265815438</v>
      </c>
      <c r="H100" s="7" t="n">
        <v>0</v>
      </c>
      <c r="I100" s="10" t="n">
        <v>0.0002</v>
      </c>
      <c r="J100" s="7" t="n">
        <f aca="false">IF(I100&gt;=Assumptions!$B$9,1,0)</f>
        <v>0</v>
      </c>
      <c r="K100" s="7" t="s">
        <v>79</v>
      </c>
    </row>
    <row r="101" customFormat="false" ht="15" hidden="false" customHeight="false" outlineLevel="0" collapsed="false">
      <c r="A101" s="7" t="s">
        <v>181</v>
      </c>
      <c r="B101" s="7" t="n">
        <v>28</v>
      </c>
      <c r="C101" s="9" t="n">
        <v>58467</v>
      </c>
      <c r="D101" s="9" t="n">
        <v>17161</v>
      </c>
      <c r="E101" s="7" t="s">
        <v>86</v>
      </c>
      <c r="F101" s="7" t="s">
        <v>90</v>
      </c>
      <c r="G101" s="20" t="n">
        <f aca="false">D101/C101</f>
        <v>0.293516000478903</v>
      </c>
      <c r="H101" s="7" t="n">
        <v>0</v>
      </c>
      <c r="I101" s="10" t="n">
        <v>0.0057</v>
      </c>
      <c r="J101" s="7" t="n">
        <f aca="false">IF(I101&gt;=Assumptions!$B$9,1,0)</f>
        <v>0</v>
      </c>
      <c r="K101" s="7" t="s">
        <v>79</v>
      </c>
    </row>
    <row r="102" customFormat="false" ht="15" hidden="false" customHeight="false" outlineLevel="0" collapsed="false">
      <c r="A102" s="7" t="s">
        <v>182</v>
      </c>
      <c r="B102" s="7" t="n">
        <v>55</v>
      </c>
      <c r="C102" s="9" t="n">
        <v>43328</v>
      </c>
      <c r="D102" s="9" t="n">
        <v>32350</v>
      </c>
      <c r="E102" s="7" t="s">
        <v>77</v>
      </c>
      <c r="F102" s="7" t="s">
        <v>90</v>
      </c>
      <c r="G102" s="20" t="n">
        <f aca="false">D102/C102</f>
        <v>0.74663035450517</v>
      </c>
      <c r="H102" s="7" t="n">
        <v>0</v>
      </c>
      <c r="I102" s="10" t="n">
        <v>0.2092</v>
      </c>
      <c r="J102" s="7" t="n">
        <f aca="false">IF(I102&gt;=Assumptions!$B$9,1,0)</f>
        <v>0</v>
      </c>
      <c r="K102" s="7" t="s">
        <v>79</v>
      </c>
    </row>
    <row r="103" customFormat="false" ht="15" hidden="false" customHeight="false" outlineLevel="0" collapsed="false">
      <c r="A103" s="7" t="s">
        <v>183</v>
      </c>
      <c r="B103" s="7" t="n">
        <v>55</v>
      </c>
      <c r="C103" s="9" t="n">
        <v>111412</v>
      </c>
      <c r="D103" s="9" t="n">
        <v>30351</v>
      </c>
      <c r="E103" s="7" t="s">
        <v>77</v>
      </c>
      <c r="F103" s="7" t="s">
        <v>90</v>
      </c>
      <c r="G103" s="20" t="n">
        <f aca="false">D103/C103</f>
        <v>0.272421283165189</v>
      </c>
      <c r="H103" s="7" t="n">
        <v>0</v>
      </c>
      <c r="I103" s="10" t="n">
        <v>0.0125</v>
      </c>
      <c r="J103" s="7" t="n">
        <f aca="false">IF(I103&gt;=Assumptions!$B$9,1,0)</f>
        <v>0</v>
      </c>
      <c r="K103" s="7" t="s">
        <v>79</v>
      </c>
    </row>
    <row r="104" customFormat="false" ht="15" hidden="false" customHeight="false" outlineLevel="0" collapsed="false">
      <c r="A104" s="7" t="s">
        <v>184</v>
      </c>
      <c r="B104" s="7" t="n">
        <v>53</v>
      </c>
      <c r="C104" s="9" t="n">
        <v>106831</v>
      </c>
      <c r="D104" s="9" t="n">
        <v>20305</v>
      </c>
      <c r="E104" s="7" t="s">
        <v>81</v>
      </c>
      <c r="F104" s="7" t="s">
        <v>90</v>
      </c>
      <c r="G104" s="20" t="n">
        <f aca="false">D104/C104</f>
        <v>0.190066553715682</v>
      </c>
      <c r="H104" s="7" t="n">
        <v>0</v>
      </c>
      <c r="I104" s="10" t="n">
        <v>0.0002</v>
      </c>
      <c r="J104" s="7" t="n">
        <f aca="false">IF(I104&gt;=Assumptions!$B$9,1,0)</f>
        <v>0</v>
      </c>
      <c r="K104" s="7" t="s">
        <v>79</v>
      </c>
    </row>
    <row r="105" customFormat="false" ht="15" hidden="false" customHeight="false" outlineLevel="0" collapsed="false">
      <c r="A105" s="7" t="s">
        <v>185</v>
      </c>
      <c r="B105" s="7" t="n">
        <v>25</v>
      </c>
      <c r="C105" s="9" t="n">
        <v>23987</v>
      </c>
      <c r="D105" s="9" t="n">
        <v>70953</v>
      </c>
      <c r="E105" s="7" t="s">
        <v>81</v>
      </c>
      <c r="F105" s="7" t="s">
        <v>78</v>
      </c>
      <c r="G105" s="20" t="n">
        <f aca="false">D105/C105</f>
        <v>2.9579772376704</v>
      </c>
      <c r="H105" s="7" t="n">
        <v>1</v>
      </c>
      <c r="I105" s="10" t="n">
        <v>0.9952</v>
      </c>
      <c r="J105" s="7" t="n">
        <f aca="false">IF(I105&gt;=Assumptions!$B$9,1,0)</f>
        <v>1</v>
      </c>
      <c r="K105" s="7" t="s">
        <v>84</v>
      </c>
    </row>
    <row r="106" customFormat="false" ht="15" hidden="false" customHeight="false" outlineLevel="0" collapsed="false">
      <c r="A106" s="7" t="s">
        <v>186</v>
      </c>
      <c r="B106" s="7" t="n">
        <v>62</v>
      </c>
      <c r="C106" s="9" t="n">
        <v>78871</v>
      </c>
      <c r="D106" s="9" t="n">
        <v>62458</v>
      </c>
      <c r="E106" s="7" t="s">
        <v>81</v>
      </c>
      <c r="F106" s="7" t="s">
        <v>82</v>
      </c>
      <c r="G106" s="20" t="n">
        <f aca="false">D106/C106</f>
        <v>0.791900698609121</v>
      </c>
      <c r="H106" s="7" t="n">
        <v>0</v>
      </c>
      <c r="I106" s="10" t="n">
        <v>0.1002</v>
      </c>
      <c r="J106" s="7" t="n">
        <f aca="false">IF(I106&gt;=Assumptions!$B$9,1,0)</f>
        <v>0</v>
      </c>
      <c r="K106" s="7" t="s">
        <v>79</v>
      </c>
    </row>
    <row r="107" customFormat="false" ht="15" hidden="false" customHeight="false" outlineLevel="0" collapsed="false">
      <c r="A107" s="7" t="s">
        <v>187</v>
      </c>
      <c r="B107" s="7" t="n">
        <v>59</v>
      </c>
      <c r="C107" s="9" t="n">
        <v>42399</v>
      </c>
      <c r="D107" s="9" t="n">
        <v>25358</v>
      </c>
      <c r="E107" s="7" t="s">
        <v>86</v>
      </c>
      <c r="F107" s="7" t="s">
        <v>90</v>
      </c>
      <c r="G107" s="20" t="n">
        <f aca="false">D107/C107</f>
        <v>0.598080143399609</v>
      </c>
      <c r="H107" s="7" t="n">
        <v>0</v>
      </c>
      <c r="I107" s="10" t="n">
        <v>0.0175</v>
      </c>
      <c r="J107" s="7" t="n">
        <f aca="false">IF(I107&gt;=Assumptions!$B$9,1,0)</f>
        <v>0</v>
      </c>
      <c r="K107" s="7" t="s">
        <v>84</v>
      </c>
    </row>
    <row r="108" customFormat="false" ht="15" hidden="false" customHeight="false" outlineLevel="0" collapsed="false">
      <c r="A108" s="7" t="s">
        <v>188</v>
      </c>
      <c r="B108" s="7" t="n">
        <v>61</v>
      </c>
      <c r="C108" s="9" t="n">
        <v>66214</v>
      </c>
      <c r="D108" s="9" t="n">
        <v>8267</v>
      </c>
      <c r="E108" s="7" t="s">
        <v>81</v>
      </c>
      <c r="F108" s="7" t="s">
        <v>90</v>
      </c>
      <c r="G108" s="20" t="n">
        <f aca="false">D108/C108</f>
        <v>0.124852750173679</v>
      </c>
      <c r="H108" s="7" t="n">
        <v>0</v>
      </c>
      <c r="I108" s="10" t="n">
        <v>0.0002</v>
      </c>
      <c r="J108" s="7" t="n">
        <f aca="false">IF(I108&gt;=Assumptions!$B$9,1,0)</f>
        <v>0</v>
      </c>
      <c r="K108" s="7" t="s">
        <v>79</v>
      </c>
    </row>
    <row r="109" customFormat="false" ht="15" hidden="false" customHeight="false" outlineLevel="0" collapsed="false">
      <c r="A109" s="7" t="s">
        <v>189</v>
      </c>
      <c r="B109" s="7" t="n">
        <v>48</v>
      </c>
      <c r="C109" s="9" t="n">
        <v>119522</v>
      </c>
      <c r="D109" s="9" t="n">
        <v>43513</v>
      </c>
      <c r="E109" s="7" t="s">
        <v>77</v>
      </c>
      <c r="F109" s="7" t="s">
        <v>78</v>
      </c>
      <c r="G109" s="20" t="n">
        <f aca="false">D109/C109</f>
        <v>0.364058499690434</v>
      </c>
      <c r="H109" s="7" t="n">
        <v>0</v>
      </c>
      <c r="I109" s="10" t="n">
        <v>0.0274</v>
      </c>
      <c r="J109" s="7" t="n">
        <f aca="false">IF(I109&gt;=Assumptions!$B$9,1,0)</f>
        <v>0</v>
      </c>
      <c r="K109" s="7" t="s">
        <v>79</v>
      </c>
    </row>
    <row r="110" customFormat="false" ht="15" hidden="false" customHeight="false" outlineLevel="0" collapsed="false">
      <c r="A110" s="7" t="s">
        <v>190</v>
      </c>
      <c r="B110" s="7" t="n">
        <v>27</v>
      </c>
      <c r="C110" s="9" t="n">
        <v>106416</v>
      </c>
      <c r="D110" s="9" t="n">
        <v>31092</v>
      </c>
      <c r="E110" s="7" t="s">
        <v>77</v>
      </c>
      <c r="F110" s="7" t="s">
        <v>82</v>
      </c>
      <c r="G110" s="20" t="n">
        <f aca="false">D110/C110</f>
        <v>0.292174109156518</v>
      </c>
      <c r="H110" s="7" t="n">
        <v>1</v>
      </c>
      <c r="I110" s="10" t="n">
        <v>0.4378</v>
      </c>
      <c r="J110" s="7" t="n">
        <f aca="false">IF(I110&gt;=Assumptions!$B$9,1,0)</f>
        <v>0</v>
      </c>
      <c r="K110" s="7" t="s">
        <v>79</v>
      </c>
    </row>
    <row r="111" customFormat="false" ht="15" hidden="false" customHeight="false" outlineLevel="0" collapsed="false">
      <c r="A111" s="7" t="s">
        <v>191</v>
      </c>
      <c r="B111" s="7" t="n">
        <v>29</v>
      </c>
      <c r="C111" s="9" t="n">
        <v>90271</v>
      </c>
      <c r="D111" s="9" t="n">
        <v>16338</v>
      </c>
      <c r="E111" s="7" t="s">
        <v>81</v>
      </c>
      <c r="F111" s="7" t="s">
        <v>82</v>
      </c>
      <c r="G111" s="20" t="n">
        <f aca="false">D111/C111</f>
        <v>0.180988357279747</v>
      </c>
      <c r="H111" s="7" t="n">
        <v>0</v>
      </c>
      <c r="I111" s="10" t="n">
        <v>0.0104</v>
      </c>
      <c r="J111" s="7" t="n">
        <f aca="false">IF(I111&gt;=Assumptions!$B$9,1,0)</f>
        <v>0</v>
      </c>
      <c r="K111" s="7" t="s">
        <v>84</v>
      </c>
    </row>
    <row r="112" customFormat="false" ht="15" hidden="false" customHeight="false" outlineLevel="0" collapsed="false">
      <c r="A112" s="7" t="s">
        <v>192</v>
      </c>
      <c r="B112" s="7" t="n">
        <v>28</v>
      </c>
      <c r="C112" s="9" t="n">
        <v>64064</v>
      </c>
      <c r="D112" s="9" t="n">
        <v>5412</v>
      </c>
      <c r="E112" s="7" t="s">
        <v>81</v>
      </c>
      <c r="F112" s="7" t="s">
        <v>78</v>
      </c>
      <c r="G112" s="20" t="n">
        <f aca="false">D112/C112</f>
        <v>0.084478021978022</v>
      </c>
      <c r="H112" s="7" t="n">
        <v>0</v>
      </c>
      <c r="I112" s="10" t="n">
        <v>0.0004</v>
      </c>
      <c r="J112" s="7" t="n">
        <f aca="false">IF(I112&gt;=Assumptions!$B$9,1,0)</f>
        <v>0</v>
      </c>
      <c r="K112" s="7" t="s">
        <v>84</v>
      </c>
    </row>
    <row r="113" customFormat="false" ht="15" hidden="false" customHeight="false" outlineLevel="0" collapsed="false">
      <c r="A113" s="7" t="s">
        <v>193</v>
      </c>
      <c r="B113" s="7" t="n">
        <v>32</v>
      </c>
      <c r="C113" s="9" t="n">
        <v>90091</v>
      </c>
      <c r="D113" s="9" t="n">
        <v>12543</v>
      </c>
      <c r="E113" s="7" t="s">
        <v>77</v>
      </c>
      <c r="F113" s="7" t="s">
        <v>78</v>
      </c>
      <c r="G113" s="20" t="n">
        <f aca="false">D113/C113</f>
        <v>0.139225893818472</v>
      </c>
      <c r="H113" s="7" t="n">
        <v>0</v>
      </c>
      <c r="I113" s="10" t="n">
        <v>0.0199</v>
      </c>
      <c r="J113" s="7" t="n">
        <f aca="false">IF(I113&gt;=Assumptions!$B$9,1,0)</f>
        <v>0</v>
      </c>
      <c r="K113" s="7" t="s">
        <v>79</v>
      </c>
    </row>
    <row r="114" customFormat="false" ht="15" hidden="false" customHeight="false" outlineLevel="0" collapsed="false">
      <c r="A114" s="7" t="s">
        <v>194</v>
      </c>
      <c r="B114" s="7" t="n">
        <v>54</v>
      </c>
      <c r="C114" s="9" t="n">
        <v>60818</v>
      </c>
      <c r="D114" s="9" t="n">
        <v>38496</v>
      </c>
      <c r="E114" s="7" t="s">
        <v>86</v>
      </c>
      <c r="F114" s="7" t="s">
        <v>82</v>
      </c>
      <c r="G114" s="20" t="n">
        <f aca="false">D114/C114</f>
        <v>0.632970502153968</v>
      </c>
      <c r="H114" s="7" t="n">
        <v>0</v>
      </c>
      <c r="I114" s="10" t="n">
        <v>0.379</v>
      </c>
      <c r="J114" s="7" t="n">
        <f aca="false">IF(I114&gt;=Assumptions!$B$9,1,0)</f>
        <v>0</v>
      </c>
      <c r="K114" s="7" t="s">
        <v>79</v>
      </c>
    </row>
    <row r="115" customFormat="false" ht="15" hidden="false" customHeight="false" outlineLevel="0" collapsed="false">
      <c r="A115" s="7" t="s">
        <v>195</v>
      </c>
      <c r="B115" s="7" t="n">
        <v>53</v>
      </c>
      <c r="C115" s="9" t="n">
        <v>65525</v>
      </c>
      <c r="D115" s="9" t="n">
        <v>65692</v>
      </c>
      <c r="E115" s="7" t="s">
        <v>81</v>
      </c>
      <c r="F115" s="7" t="s">
        <v>90</v>
      </c>
      <c r="G115" s="20" t="n">
        <f aca="false">D115/C115</f>
        <v>1.00254864555513</v>
      </c>
      <c r="H115" s="7" t="n">
        <v>0</v>
      </c>
      <c r="I115" s="10" t="n">
        <v>0.0105</v>
      </c>
      <c r="J115" s="7" t="n">
        <f aca="false">IF(I115&gt;=Assumptions!$B$9,1,0)</f>
        <v>0</v>
      </c>
      <c r="K115" s="7" t="s">
        <v>79</v>
      </c>
    </row>
    <row r="116" customFormat="false" ht="15" hidden="false" customHeight="false" outlineLevel="0" collapsed="false">
      <c r="A116" s="7" t="s">
        <v>196</v>
      </c>
      <c r="B116" s="7" t="n">
        <v>43</v>
      </c>
      <c r="C116" s="9" t="n">
        <v>39830</v>
      </c>
      <c r="D116" s="9" t="n">
        <v>49425</v>
      </c>
      <c r="E116" s="7" t="s">
        <v>81</v>
      </c>
      <c r="F116" s="7" t="s">
        <v>82</v>
      </c>
      <c r="G116" s="20" t="n">
        <f aca="false">D116/C116</f>
        <v>1.24089881998494</v>
      </c>
      <c r="H116" s="7" t="n">
        <v>0</v>
      </c>
      <c r="I116" s="10" t="n">
        <v>0.6396</v>
      </c>
      <c r="J116" s="7" t="n">
        <f aca="false">IF(I116&gt;=Assumptions!$B$9,1,0)</f>
        <v>1</v>
      </c>
      <c r="K116" s="7" t="s">
        <v>84</v>
      </c>
    </row>
    <row r="117" customFormat="false" ht="15" hidden="false" customHeight="false" outlineLevel="0" collapsed="false">
      <c r="A117" s="7" t="s">
        <v>197</v>
      </c>
      <c r="B117" s="7" t="n">
        <v>44</v>
      </c>
      <c r="C117" s="9" t="n">
        <v>37429</v>
      </c>
      <c r="D117" s="9" t="n">
        <v>43756</v>
      </c>
      <c r="E117" s="7" t="s">
        <v>77</v>
      </c>
      <c r="F117" s="7" t="s">
        <v>78</v>
      </c>
      <c r="G117" s="20" t="n">
        <f aca="false">D117/C117</f>
        <v>1.16904004915974</v>
      </c>
      <c r="H117" s="7" t="n">
        <v>1</v>
      </c>
      <c r="I117" s="10" t="n">
        <v>0.7613</v>
      </c>
      <c r="J117" s="7" t="n">
        <f aca="false">IF(I117&gt;=Assumptions!$B$9,1,0)</f>
        <v>1</v>
      </c>
      <c r="K117" s="7" t="s">
        <v>79</v>
      </c>
    </row>
    <row r="118" customFormat="false" ht="15" hidden="false" customHeight="false" outlineLevel="0" collapsed="false">
      <c r="A118" s="7" t="s">
        <v>198</v>
      </c>
      <c r="B118" s="7" t="n">
        <v>57</v>
      </c>
      <c r="C118" s="9" t="n">
        <v>26893</v>
      </c>
      <c r="D118" s="9" t="n">
        <v>23888</v>
      </c>
      <c r="E118" s="7" t="s">
        <v>81</v>
      </c>
      <c r="F118" s="7" t="s">
        <v>90</v>
      </c>
      <c r="G118" s="20" t="n">
        <f aca="false">D118/C118</f>
        <v>0.888260885732347</v>
      </c>
      <c r="H118" s="7" t="n">
        <v>0</v>
      </c>
      <c r="I118" s="10" t="n">
        <v>0.0106</v>
      </c>
      <c r="J118" s="7" t="n">
        <f aca="false">IF(I118&gt;=Assumptions!$B$9,1,0)</f>
        <v>0</v>
      </c>
      <c r="K118" s="7" t="s">
        <v>79</v>
      </c>
    </row>
    <row r="119" customFormat="false" ht="15" hidden="false" customHeight="false" outlineLevel="0" collapsed="false">
      <c r="A119" s="7" t="s">
        <v>199</v>
      </c>
      <c r="B119" s="7" t="n">
        <v>55</v>
      </c>
      <c r="C119" s="9" t="n">
        <v>99909</v>
      </c>
      <c r="D119" s="9" t="n">
        <v>40735</v>
      </c>
      <c r="E119" s="7" t="s">
        <v>86</v>
      </c>
      <c r="F119" s="7" t="s">
        <v>90</v>
      </c>
      <c r="G119" s="20" t="n">
        <f aca="false">D119/C119</f>
        <v>0.407721026133782</v>
      </c>
      <c r="H119" s="7" t="n">
        <v>0</v>
      </c>
      <c r="I119" s="10" t="n">
        <v>0.0036</v>
      </c>
      <c r="J119" s="7" t="n">
        <f aca="false">IF(I119&gt;=Assumptions!$B$9,1,0)</f>
        <v>0</v>
      </c>
      <c r="K119" s="7" t="s">
        <v>79</v>
      </c>
    </row>
    <row r="120" customFormat="false" ht="15" hidden="false" customHeight="false" outlineLevel="0" collapsed="false">
      <c r="A120" s="7" t="s">
        <v>200</v>
      </c>
      <c r="B120" s="7" t="n">
        <v>64</v>
      </c>
      <c r="C120" s="9" t="n">
        <v>67333</v>
      </c>
      <c r="D120" s="9" t="n">
        <v>52295</v>
      </c>
      <c r="E120" s="7" t="s">
        <v>77</v>
      </c>
      <c r="F120" s="7" t="s">
        <v>78</v>
      </c>
      <c r="G120" s="20" t="n">
        <f aca="false">D120/C120</f>
        <v>0.776662260704261</v>
      </c>
      <c r="H120" s="7" t="n">
        <v>0</v>
      </c>
      <c r="I120" s="10" t="n">
        <v>0.2235</v>
      </c>
      <c r="J120" s="7" t="n">
        <f aca="false">IF(I120&gt;=Assumptions!$B$9,1,0)</f>
        <v>0</v>
      </c>
      <c r="K120" s="7" t="s">
        <v>79</v>
      </c>
    </row>
    <row r="121" customFormat="false" ht="15" hidden="false" customHeight="false" outlineLevel="0" collapsed="false">
      <c r="A121" s="7" t="s">
        <v>201</v>
      </c>
      <c r="B121" s="7" t="n">
        <v>60</v>
      </c>
      <c r="C121" s="9" t="n">
        <v>23436</v>
      </c>
      <c r="D121" s="9" t="n">
        <v>22955</v>
      </c>
      <c r="E121" s="7" t="s">
        <v>81</v>
      </c>
      <c r="F121" s="7" t="s">
        <v>78</v>
      </c>
      <c r="G121" s="20" t="n">
        <f aca="false">D121/C121</f>
        <v>0.9794760197986</v>
      </c>
      <c r="H121" s="7" t="n">
        <v>0</v>
      </c>
      <c r="I121" s="10" t="n">
        <v>0.0239</v>
      </c>
      <c r="J121" s="7" t="n">
        <f aca="false">IF(I121&gt;=Assumptions!$B$9,1,0)</f>
        <v>0</v>
      </c>
      <c r="K121" s="7" t="s">
        <v>79</v>
      </c>
    </row>
    <row r="122" customFormat="false" ht="15" hidden="false" customHeight="false" outlineLevel="0" collapsed="false">
      <c r="A122" s="7" t="s">
        <v>202</v>
      </c>
      <c r="B122" s="7" t="n">
        <v>42</v>
      </c>
      <c r="C122" s="9" t="n">
        <v>94290</v>
      </c>
      <c r="D122" s="9" t="n">
        <v>42841</v>
      </c>
      <c r="E122" s="7" t="s">
        <v>77</v>
      </c>
      <c r="F122" s="7" t="s">
        <v>78</v>
      </c>
      <c r="G122" s="20" t="n">
        <f aca="false">D122/C122</f>
        <v>0.454353589988334</v>
      </c>
      <c r="H122" s="7" t="n">
        <v>0</v>
      </c>
      <c r="I122" s="10" t="n">
        <v>0.0611</v>
      </c>
      <c r="J122" s="7" t="n">
        <f aca="false">IF(I122&gt;=Assumptions!$B$9,1,0)</f>
        <v>0</v>
      </c>
      <c r="K122" s="7" t="s">
        <v>79</v>
      </c>
    </row>
    <row r="123" customFormat="false" ht="15" hidden="false" customHeight="false" outlineLevel="0" collapsed="false">
      <c r="A123" s="7" t="s">
        <v>203</v>
      </c>
      <c r="B123" s="7" t="n">
        <v>47</v>
      </c>
      <c r="C123" s="9" t="n">
        <v>96213</v>
      </c>
      <c r="D123" s="9" t="n">
        <v>75640</v>
      </c>
      <c r="E123" s="7" t="s">
        <v>81</v>
      </c>
      <c r="F123" s="7" t="s">
        <v>82</v>
      </c>
      <c r="G123" s="20" t="n">
        <f aca="false">D123/C123</f>
        <v>0.786172346772266</v>
      </c>
      <c r="H123" s="7" t="n">
        <v>0</v>
      </c>
      <c r="I123" s="10" t="n">
        <v>0.0939</v>
      </c>
      <c r="J123" s="7" t="n">
        <f aca="false">IF(I123&gt;=Assumptions!$B$9,1,0)</f>
        <v>0</v>
      </c>
      <c r="K123" s="7" t="s">
        <v>79</v>
      </c>
    </row>
    <row r="124" customFormat="false" ht="15" hidden="false" customHeight="false" outlineLevel="0" collapsed="false">
      <c r="A124" s="7" t="s">
        <v>204</v>
      </c>
      <c r="B124" s="7" t="n">
        <v>55</v>
      </c>
      <c r="C124" s="9" t="n">
        <v>25895</v>
      </c>
      <c r="D124" s="9" t="n">
        <v>70510</v>
      </c>
      <c r="E124" s="7" t="s">
        <v>81</v>
      </c>
      <c r="F124" s="7" t="s">
        <v>82</v>
      </c>
      <c r="G124" s="20" t="n">
        <f aca="false">D124/C124</f>
        <v>2.72291948252558</v>
      </c>
      <c r="H124" s="7" t="n">
        <v>1</v>
      </c>
      <c r="I124" s="10" t="n">
        <v>0.9991</v>
      </c>
      <c r="J124" s="7" t="n">
        <f aca="false">IF(I124&gt;=Assumptions!$B$9,1,0)</f>
        <v>1</v>
      </c>
      <c r="K124" s="7" t="s">
        <v>79</v>
      </c>
    </row>
    <row r="125" customFormat="false" ht="15" hidden="false" customHeight="false" outlineLevel="0" collapsed="false">
      <c r="A125" s="7" t="s">
        <v>205</v>
      </c>
      <c r="B125" s="7" t="n">
        <v>21</v>
      </c>
      <c r="C125" s="9" t="n">
        <v>39738</v>
      </c>
      <c r="D125" s="9" t="n">
        <v>39911</v>
      </c>
      <c r="E125" s="7" t="s">
        <v>81</v>
      </c>
      <c r="F125" s="7" t="s">
        <v>90</v>
      </c>
      <c r="G125" s="20" t="n">
        <f aca="false">D125/C125</f>
        <v>1.0043535155267</v>
      </c>
      <c r="H125" s="7" t="n">
        <v>0</v>
      </c>
      <c r="I125" s="10" t="n">
        <v>0.0234</v>
      </c>
      <c r="J125" s="7" t="n">
        <f aca="false">IF(I125&gt;=Assumptions!$B$9,1,0)</f>
        <v>0</v>
      </c>
      <c r="K125" s="7" t="s">
        <v>79</v>
      </c>
    </row>
    <row r="126" customFormat="false" ht="15" hidden="false" customHeight="false" outlineLevel="0" collapsed="false">
      <c r="A126" s="7" t="s">
        <v>206</v>
      </c>
      <c r="B126" s="7" t="n">
        <v>55</v>
      </c>
      <c r="C126" s="9" t="n">
        <v>50746</v>
      </c>
      <c r="D126" s="9" t="n">
        <v>64031</v>
      </c>
      <c r="E126" s="7" t="s">
        <v>86</v>
      </c>
      <c r="F126" s="7" t="s">
        <v>78</v>
      </c>
      <c r="G126" s="20" t="n">
        <f aca="false">D126/C126</f>
        <v>1.26179403302723</v>
      </c>
      <c r="H126" s="7" t="n">
        <v>0</v>
      </c>
      <c r="I126" s="10" t="n">
        <v>0.3114</v>
      </c>
      <c r="J126" s="7" t="n">
        <f aca="false">IF(I126&gt;=Assumptions!$B$9,1,0)</f>
        <v>0</v>
      </c>
      <c r="K126" s="7" t="s">
        <v>84</v>
      </c>
    </row>
    <row r="127" customFormat="false" ht="15" hidden="false" customHeight="false" outlineLevel="0" collapsed="false">
      <c r="A127" s="7" t="s">
        <v>207</v>
      </c>
      <c r="B127" s="7" t="n">
        <v>57</v>
      </c>
      <c r="C127" s="9" t="n">
        <v>69377</v>
      </c>
      <c r="D127" s="9" t="n">
        <v>12357</v>
      </c>
      <c r="E127" s="7" t="s">
        <v>86</v>
      </c>
      <c r="F127" s="7" t="s">
        <v>90</v>
      </c>
      <c r="G127" s="20" t="n">
        <f aca="false">D127/C127</f>
        <v>0.178113784107125</v>
      </c>
      <c r="H127" s="7" t="n">
        <v>0</v>
      </c>
      <c r="I127" s="10" t="n">
        <v>0.002</v>
      </c>
      <c r="J127" s="7" t="n">
        <f aca="false">IF(I127&gt;=Assumptions!$B$9,1,0)</f>
        <v>0</v>
      </c>
      <c r="K127" s="7" t="s">
        <v>84</v>
      </c>
    </row>
    <row r="128" customFormat="false" ht="15" hidden="false" customHeight="false" outlineLevel="0" collapsed="false">
      <c r="A128" s="7" t="s">
        <v>208</v>
      </c>
      <c r="B128" s="7" t="n">
        <v>34</v>
      </c>
      <c r="C128" s="9" t="n">
        <v>68404</v>
      </c>
      <c r="D128" s="9" t="n">
        <v>37479</v>
      </c>
      <c r="E128" s="7" t="s">
        <v>77</v>
      </c>
      <c r="F128" s="7" t="s">
        <v>90</v>
      </c>
      <c r="G128" s="20" t="n">
        <f aca="false">D128/C128</f>
        <v>0.547906555172212</v>
      </c>
      <c r="H128" s="7" t="n">
        <v>0</v>
      </c>
      <c r="I128" s="10" t="n">
        <v>0.0939</v>
      </c>
      <c r="J128" s="7" t="n">
        <f aca="false">IF(I128&gt;=Assumptions!$B$9,1,0)</f>
        <v>0</v>
      </c>
      <c r="K128" s="7" t="s">
        <v>79</v>
      </c>
    </row>
    <row r="129" customFormat="false" ht="15" hidden="false" customHeight="false" outlineLevel="0" collapsed="false">
      <c r="A129" s="7" t="s">
        <v>209</v>
      </c>
      <c r="B129" s="7" t="n">
        <v>23</v>
      </c>
      <c r="C129" s="9" t="n">
        <v>74045</v>
      </c>
      <c r="D129" s="9" t="n">
        <v>66476</v>
      </c>
      <c r="E129" s="7" t="s">
        <v>81</v>
      </c>
      <c r="F129" s="7" t="s">
        <v>90</v>
      </c>
      <c r="G129" s="20" t="n">
        <f aca="false">D129/C129</f>
        <v>0.89777837801337</v>
      </c>
      <c r="H129" s="7" t="n">
        <v>0</v>
      </c>
      <c r="I129" s="10" t="n">
        <v>0.0089</v>
      </c>
      <c r="J129" s="7" t="n">
        <f aca="false">IF(I129&gt;=Assumptions!$B$9,1,0)</f>
        <v>0</v>
      </c>
      <c r="K129" s="7" t="s">
        <v>84</v>
      </c>
    </row>
    <row r="130" customFormat="false" ht="15" hidden="false" customHeight="false" outlineLevel="0" collapsed="false">
      <c r="A130" s="7" t="s">
        <v>210</v>
      </c>
      <c r="B130" s="7" t="n">
        <v>21</v>
      </c>
      <c r="C130" s="9" t="n">
        <v>117888</v>
      </c>
      <c r="D130" s="9" t="n">
        <v>49811</v>
      </c>
      <c r="E130" s="7" t="s">
        <v>81</v>
      </c>
      <c r="F130" s="7" t="s">
        <v>90</v>
      </c>
      <c r="G130" s="20" t="n">
        <f aca="false">D130/C130</f>
        <v>0.422528162323561</v>
      </c>
      <c r="H130" s="7" t="n">
        <v>0</v>
      </c>
      <c r="I130" s="10" t="n">
        <v>0.0006</v>
      </c>
      <c r="J130" s="7" t="n">
        <f aca="false">IF(I130&gt;=Assumptions!$B$9,1,0)</f>
        <v>0</v>
      </c>
      <c r="K130" s="7" t="s">
        <v>84</v>
      </c>
    </row>
    <row r="131" customFormat="false" ht="15" hidden="false" customHeight="false" outlineLevel="0" collapsed="false">
      <c r="A131" s="7" t="s">
        <v>211</v>
      </c>
      <c r="B131" s="7" t="n">
        <v>25</v>
      </c>
      <c r="C131" s="9" t="n">
        <v>59790</v>
      </c>
      <c r="D131" s="9" t="n">
        <v>41208</v>
      </c>
      <c r="E131" s="7" t="s">
        <v>86</v>
      </c>
      <c r="F131" s="7" t="s">
        <v>78</v>
      </c>
      <c r="G131" s="20" t="n">
        <f aca="false">D131/C131</f>
        <v>0.689212242849975</v>
      </c>
      <c r="H131" s="7" t="n">
        <v>0</v>
      </c>
      <c r="I131" s="10" t="n">
        <v>0.0476</v>
      </c>
      <c r="J131" s="7" t="n">
        <f aca="false">IF(I131&gt;=Assumptions!$B$9,1,0)</f>
        <v>0</v>
      </c>
      <c r="K131" s="7" t="s">
        <v>84</v>
      </c>
    </row>
    <row r="132" customFormat="false" ht="15" hidden="false" customHeight="false" outlineLevel="0" collapsed="false">
      <c r="A132" s="7" t="s">
        <v>212</v>
      </c>
      <c r="B132" s="7" t="n">
        <v>46</v>
      </c>
      <c r="C132" s="9" t="n">
        <v>25600</v>
      </c>
      <c r="D132" s="9" t="n">
        <v>25150</v>
      </c>
      <c r="E132" s="7" t="s">
        <v>81</v>
      </c>
      <c r="F132" s="7" t="s">
        <v>90</v>
      </c>
      <c r="G132" s="20" t="n">
        <f aca="false">D132/C132</f>
        <v>0.982421875</v>
      </c>
      <c r="H132" s="7" t="n">
        <v>0</v>
      </c>
      <c r="I132" s="10" t="n">
        <v>0.0187</v>
      </c>
      <c r="J132" s="7" t="n">
        <f aca="false">IF(I132&gt;=Assumptions!$B$9,1,0)</f>
        <v>0</v>
      </c>
      <c r="K132" s="7" t="s">
        <v>79</v>
      </c>
    </row>
    <row r="133" customFormat="false" ht="15" hidden="false" customHeight="false" outlineLevel="0" collapsed="false">
      <c r="A133" s="7" t="s">
        <v>213</v>
      </c>
      <c r="B133" s="7" t="n">
        <v>34</v>
      </c>
      <c r="C133" s="9" t="n">
        <v>114660</v>
      </c>
      <c r="D133" s="9" t="n">
        <v>76180</v>
      </c>
      <c r="E133" s="7" t="s">
        <v>86</v>
      </c>
      <c r="F133" s="7" t="s">
        <v>78</v>
      </c>
      <c r="G133" s="20" t="n">
        <f aca="false">D133/C133</f>
        <v>0.664399092970522</v>
      </c>
      <c r="H133" s="7" t="n">
        <v>0</v>
      </c>
      <c r="I133" s="10" t="n">
        <v>0.0176</v>
      </c>
      <c r="J133" s="7" t="n">
        <f aca="false">IF(I133&gt;=Assumptions!$B$9,1,0)</f>
        <v>0</v>
      </c>
      <c r="K133" s="7" t="s">
        <v>79</v>
      </c>
    </row>
    <row r="134" customFormat="false" ht="15" hidden="false" customHeight="false" outlineLevel="0" collapsed="false">
      <c r="A134" s="7" t="s">
        <v>214</v>
      </c>
      <c r="B134" s="7" t="n">
        <v>59</v>
      </c>
      <c r="C134" s="9" t="n">
        <v>113179</v>
      </c>
      <c r="D134" s="9" t="n">
        <v>48286</v>
      </c>
      <c r="E134" s="7" t="s">
        <v>81</v>
      </c>
      <c r="F134" s="7" t="s">
        <v>78</v>
      </c>
      <c r="G134" s="20" t="n">
        <f aca="false">D134/C134</f>
        <v>0.426633916185865</v>
      </c>
      <c r="H134" s="7" t="n">
        <v>0</v>
      </c>
      <c r="I134" s="10" t="n">
        <v>0.0006</v>
      </c>
      <c r="J134" s="7" t="n">
        <f aca="false">IF(I134&gt;=Assumptions!$B$9,1,0)</f>
        <v>0</v>
      </c>
      <c r="K134" s="7" t="s">
        <v>79</v>
      </c>
    </row>
    <row r="135" customFormat="false" ht="15" hidden="false" customHeight="false" outlineLevel="0" collapsed="false">
      <c r="A135" s="7" t="s">
        <v>215</v>
      </c>
      <c r="B135" s="7" t="n">
        <v>47</v>
      </c>
      <c r="C135" s="9" t="n">
        <v>60764</v>
      </c>
      <c r="D135" s="9" t="n">
        <v>73450</v>
      </c>
      <c r="E135" s="7" t="s">
        <v>77</v>
      </c>
      <c r="F135" s="7" t="s">
        <v>82</v>
      </c>
      <c r="G135" s="20" t="n">
        <f aca="false">D135/C135</f>
        <v>1.20877493252584</v>
      </c>
      <c r="H135" s="7" t="n">
        <v>1</v>
      </c>
      <c r="I135" s="10" t="n">
        <v>0.9838</v>
      </c>
      <c r="J135" s="7" t="n">
        <f aca="false">IF(I135&gt;=Assumptions!$B$9,1,0)</f>
        <v>1</v>
      </c>
      <c r="K135" s="7" t="s">
        <v>84</v>
      </c>
    </row>
    <row r="136" customFormat="false" ht="15" hidden="false" customHeight="false" outlineLevel="0" collapsed="false">
      <c r="A136" s="7" t="s">
        <v>216</v>
      </c>
      <c r="B136" s="7" t="n">
        <v>29</v>
      </c>
      <c r="C136" s="9" t="n">
        <v>94543</v>
      </c>
      <c r="D136" s="9" t="n">
        <v>26352</v>
      </c>
      <c r="E136" s="7" t="s">
        <v>81</v>
      </c>
      <c r="F136" s="7" t="s">
        <v>78</v>
      </c>
      <c r="G136" s="20" t="n">
        <f aca="false">D136/C136</f>
        <v>0.278730313190823</v>
      </c>
      <c r="H136" s="7" t="n">
        <v>0</v>
      </c>
      <c r="I136" s="10" t="n">
        <v>0.0006</v>
      </c>
      <c r="J136" s="7" t="n">
        <f aca="false">IF(I136&gt;=Assumptions!$B$9,1,0)</f>
        <v>0</v>
      </c>
      <c r="K136" s="7" t="s">
        <v>79</v>
      </c>
    </row>
    <row r="137" customFormat="false" ht="15" hidden="false" customHeight="false" outlineLevel="0" collapsed="false">
      <c r="A137" s="7" t="s">
        <v>217</v>
      </c>
      <c r="B137" s="7" t="n">
        <v>35</v>
      </c>
      <c r="C137" s="9" t="n">
        <v>65714</v>
      </c>
      <c r="D137" s="9" t="n">
        <v>60069</v>
      </c>
      <c r="E137" s="7" t="s">
        <v>81</v>
      </c>
      <c r="F137" s="7" t="s">
        <v>82</v>
      </c>
      <c r="G137" s="20" t="n">
        <f aca="false">D137/C137</f>
        <v>0.91409745259762</v>
      </c>
      <c r="H137" s="7" t="n">
        <v>0</v>
      </c>
      <c r="I137" s="10" t="n">
        <v>0.2483</v>
      </c>
      <c r="J137" s="7" t="n">
        <f aca="false">IF(I137&gt;=Assumptions!$B$9,1,0)</f>
        <v>0</v>
      </c>
      <c r="K137" s="7" t="s">
        <v>79</v>
      </c>
    </row>
    <row r="138" customFormat="false" ht="15" hidden="false" customHeight="false" outlineLevel="0" collapsed="false">
      <c r="A138" s="7" t="s">
        <v>218</v>
      </c>
      <c r="B138" s="7" t="n">
        <v>35</v>
      </c>
      <c r="C138" s="9" t="n">
        <v>76835</v>
      </c>
      <c r="D138" s="9" t="n">
        <v>19397</v>
      </c>
      <c r="E138" s="7" t="s">
        <v>86</v>
      </c>
      <c r="F138" s="7" t="s">
        <v>78</v>
      </c>
      <c r="G138" s="20" t="n">
        <f aca="false">D138/C138</f>
        <v>0.252450055313334</v>
      </c>
      <c r="H138" s="7" t="n">
        <v>0</v>
      </c>
      <c r="I138" s="10" t="n">
        <v>0.0051</v>
      </c>
      <c r="J138" s="7" t="n">
        <f aca="false">IF(I138&gt;=Assumptions!$B$9,1,0)</f>
        <v>0</v>
      </c>
      <c r="K138" s="7" t="s">
        <v>79</v>
      </c>
    </row>
    <row r="139" customFormat="false" ht="15" hidden="false" customHeight="false" outlineLevel="0" collapsed="false">
      <c r="A139" s="7" t="s">
        <v>219</v>
      </c>
      <c r="B139" s="7" t="n">
        <v>46</v>
      </c>
      <c r="C139" s="9" t="n">
        <v>93744</v>
      </c>
      <c r="D139" s="9" t="n">
        <v>46555</v>
      </c>
      <c r="E139" s="7" t="s">
        <v>81</v>
      </c>
      <c r="F139" s="7" t="s">
        <v>78</v>
      </c>
      <c r="G139" s="20" t="n">
        <f aca="false">D139/C139</f>
        <v>0.496618450247483</v>
      </c>
      <c r="H139" s="7" t="n">
        <v>0</v>
      </c>
      <c r="I139" s="10" t="n">
        <v>0.0013</v>
      </c>
      <c r="J139" s="7" t="n">
        <f aca="false">IF(I139&gt;=Assumptions!$B$9,1,0)</f>
        <v>0</v>
      </c>
      <c r="K139" s="7" t="s">
        <v>84</v>
      </c>
    </row>
    <row r="140" customFormat="false" ht="15" hidden="false" customHeight="false" outlineLevel="0" collapsed="false">
      <c r="A140" s="7" t="s">
        <v>220</v>
      </c>
      <c r="B140" s="7" t="n">
        <v>62</v>
      </c>
      <c r="C140" s="9" t="n">
        <v>76491</v>
      </c>
      <c r="D140" s="9" t="n">
        <v>51959</v>
      </c>
      <c r="E140" s="7" t="s">
        <v>81</v>
      </c>
      <c r="F140" s="7" t="s">
        <v>78</v>
      </c>
      <c r="G140" s="20" t="n">
        <f aca="false">D140/C140</f>
        <v>0.679282529970846</v>
      </c>
      <c r="H140" s="7" t="n">
        <v>0</v>
      </c>
      <c r="I140" s="10" t="n">
        <v>0.003</v>
      </c>
      <c r="J140" s="7" t="n">
        <f aca="false">IF(I140&gt;=Assumptions!$B$9,1,0)</f>
        <v>0</v>
      </c>
      <c r="K140" s="7" t="s">
        <v>84</v>
      </c>
    </row>
    <row r="141" customFormat="false" ht="15" hidden="false" customHeight="false" outlineLevel="0" collapsed="false">
      <c r="A141" s="7" t="s">
        <v>221</v>
      </c>
      <c r="B141" s="7" t="n">
        <v>33</v>
      </c>
      <c r="C141" s="9" t="n">
        <v>38589</v>
      </c>
      <c r="D141" s="9" t="n">
        <v>5728</v>
      </c>
      <c r="E141" s="7" t="s">
        <v>86</v>
      </c>
      <c r="F141" s="7" t="s">
        <v>82</v>
      </c>
      <c r="G141" s="20" t="n">
        <f aca="false">D141/C141</f>
        <v>0.148436082821529</v>
      </c>
      <c r="H141" s="7" t="n">
        <v>0</v>
      </c>
      <c r="I141" s="10" t="n">
        <v>0.1209</v>
      </c>
      <c r="J141" s="7" t="n">
        <f aca="false">IF(I141&gt;=Assumptions!$B$9,1,0)</f>
        <v>0</v>
      </c>
      <c r="K141" s="7" t="s">
        <v>79</v>
      </c>
    </row>
    <row r="142" customFormat="false" ht="15" hidden="false" customHeight="false" outlineLevel="0" collapsed="false">
      <c r="A142" s="7" t="s">
        <v>222</v>
      </c>
      <c r="B142" s="7" t="n">
        <v>52</v>
      </c>
      <c r="C142" s="9" t="n">
        <v>63484</v>
      </c>
      <c r="D142" s="9" t="n">
        <v>55517</v>
      </c>
      <c r="E142" s="7" t="s">
        <v>77</v>
      </c>
      <c r="F142" s="7" t="s">
        <v>82</v>
      </c>
      <c r="G142" s="20" t="n">
        <f aca="false">D142/C142</f>
        <v>0.874503811984122</v>
      </c>
      <c r="H142" s="7" t="n">
        <v>1</v>
      </c>
      <c r="I142" s="10" t="n">
        <v>0.9278</v>
      </c>
      <c r="J142" s="7" t="n">
        <f aca="false">IF(I142&gt;=Assumptions!$B$9,1,0)</f>
        <v>1</v>
      </c>
      <c r="K142" s="7" t="s">
        <v>84</v>
      </c>
    </row>
    <row r="143" customFormat="false" ht="15" hidden="false" customHeight="false" outlineLevel="0" collapsed="false">
      <c r="A143" s="7" t="s">
        <v>223</v>
      </c>
      <c r="B143" s="7" t="n">
        <v>59</v>
      </c>
      <c r="C143" s="9" t="n">
        <v>102989</v>
      </c>
      <c r="D143" s="9" t="n">
        <v>71234</v>
      </c>
      <c r="E143" s="7" t="s">
        <v>77</v>
      </c>
      <c r="F143" s="7" t="s">
        <v>90</v>
      </c>
      <c r="G143" s="20" t="n">
        <f aca="false">D143/C143</f>
        <v>0.691666100263135</v>
      </c>
      <c r="H143" s="7" t="n">
        <v>0</v>
      </c>
      <c r="I143" s="10" t="n">
        <v>0.0768</v>
      </c>
      <c r="J143" s="7" t="n">
        <f aca="false">IF(I143&gt;=Assumptions!$B$9,1,0)</f>
        <v>0</v>
      </c>
      <c r="K143" s="7" t="s">
        <v>84</v>
      </c>
    </row>
    <row r="144" customFormat="false" ht="15" hidden="false" customHeight="false" outlineLevel="0" collapsed="false">
      <c r="A144" s="7" t="s">
        <v>224</v>
      </c>
      <c r="B144" s="7" t="n">
        <v>52</v>
      </c>
      <c r="C144" s="9" t="n">
        <v>56212</v>
      </c>
      <c r="D144" s="9" t="n">
        <v>44954</v>
      </c>
      <c r="E144" s="7" t="s">
        <v>86</v>
      </c>
      <c r="F144" s="7" t="s">
        <v>82</v>
      </c>
      <c r="G144" s="20" t="n">
        <f aca="false">D144/C144</f>
        <v>0.799722479185939</v>
      </c>
      <c r="H144" s="7" t="n">
        <v>0</v>
      </c>
      <c r="I144" s="10" t="n">
        <v>0.5799</v>
      </c>
      <c r="J144" s="7" t="n">
        <f aca="false">IF(I144&gt;=Assumptions!$B$9,1,0)</f>
        <v>1</v>
      </c>
      <c r="K144" s="7" t="s">
        <v>84</v>
      </c>
    </row>
    <row r="145" customFormat="false" ht="15" hidden="false" customHeight="false" outlineLevel="0" collapsed="false">
      <c r="A145" s="7" t="s">
        <v>225</v>
      </c>
      <c r="B145" s="7" t="n">
        <v>24</v>
      </c>
      <c r="C145" s="9" t="n">
        <v>63525</v>
      </c>
      <c r="D145" s="9" t="n">
        <v>52280</v>
      </c>
      <c r="E145" s="7" t="s">
        <v>86</v>
      </c>
      <c r="F145" s="7" t="s">
        <v>82</v>
      </c>
      <c r="G145" s="20" t="n">
        <f aca="false">D145/C145</f>
        <v>0.822983077528532</v>
      </c>
      <c r="H145" s="7" t="n">
        <v>1</v>
      </c>
      <c r="I145" s="10" t="n">
        <v>0.6679</v>
      </c>
      <c r="J145" s="7" t="n">
        <f aca="false">IF(I145&gt;=Assumptions!$B$9,1,0)</f>
        <v>1</v>
      </c>
      <c r="K145" s="7" t="s">
        <v>79</v>
      </c>
    </row>
    <row r="146" customFormat="false" ht="15" hidden="false" customHeight="false" outlineLevel="0" collapsed="false">
      <c r="A146" s="7" t="s">
        <v>226</v>
      </c>
      <c r="B146" s="7" t="n">
        <v>50</v>
      </c>
      <c r="C146" s="9" t="n">
        <v>67202</v>
      </c>
      <c r="D146" s="9" t="n">
        <v>21779</v>
      </c>
      <c r="E146" s="7" t="s">
        <v>86</v>
      </c>
      <c r="F146" s="7" t="s">
        <v>82</v>
      </c>
      <c r="G146" s="20" t="n">
        <f aca="false">D146/C146</f>
        <v>0.324082616588792</v>
      </c>
      <c r="H146" s="7" t="n">
        <v>0</v>
      </c>
      <c r="I146" s="10" t="n">
        <v>0.1336</v>
      </c>
      <c r="J146" s="7" t="n">
        <f aca="false">IF(I146&gt;=Assumptions!$B$9,1,0)</f>
        <v>0</v>
      </c>
      <c r="K146" s="7" t="s">
        <v>79</v>
      </c>
    </row>
    <row r="147" customFormat="false" ht="15" hidden="false" customHeight="false" outlineLevel="0" collapsed="false">
      <c r="A147" s="7" t="s">
        <v>227</v>
      </c>
      <c r="B147" s="7" t="n">
        <v>57</v>
      </c>
      <c r="C147" s="9" t="n">
        <v>52635</v>
      </c>
      <c r="D147" s="9" t="n">
        <v>68932</v>
      </c>
      <c r="E147" s="7" t="s">
        <v>86</v>
      </c>
      <c r="F147" s="7" t="s">
        <v>82</v>
      </c>
      <c r="G147" s="20" t="n">
        <f aca="false">D147/C147</f>
        <v>1.30962287451316</v>
      </c>
      <c r="H147" s="7" t="n">
        <v>1</v>
      </c>
      <c r="I147" s="10" t="n">
        <v>0.9251</v>
      </c>
      <c r="J147" s="7" t="n">
        <f aca="false">IF(I147&gt;=Assumptions!$B$9,1,0)</f>
        <v>1</v>
      </c>
      <c r="K147" s="7" t="s">
        <v>84</v>
      </c>
    </row>
    <row r="148" customFormat="false" ht="15" hidden="false" customHeight="false" outlineLevel="0" collapsed="false">
      <c r="A148" s="7" t="s">
        <v>228</v>
      </c>
      <c r="B148" s="7" t="n">
        <v>43</v>
      </c>
      <c r="C148" s="9" t="n">
        <v>83208</v>
      </c>
      <c r="D148" s="9" t="n">
        <v>77936</v>
      </c>
      <c r="E148" s="7" t="s">
        <v>86</v>
      </c>
      <c r="F148" s="7" t="s">
        <v>90</v>
      </c>
      <c r="G148" s="20" t="n">
        <f aca="false">D148/C148</f>
        <v>0.936640707624267</v>
      </c>
      <c r="H148" s="7" t="n">
        <v>0</v>
      </c>
      <c r="I148" s="10" t="n">
        <v>0.0505</v>
      </c>
      <c r="J148" s="7" t="n">
        <f aca="false">IF(I148&gt;=Assumptions!$B$9,1,0)</f>
        <v>0</v>
      </c>
      <c r="K148" s="7" t="s">
        <v>79</v>
      </c>
    </row>
    <row r="149" customFormat="false" ht="15" hidden="false" customHeight="false" outlineLevel="0" collapsed="false">
      <c r="A149" s="7" t="s">
        <v>229</v>
      </c>
      <c r="B149" s="7" t="n">
        <v>59</v>
      </c>
      <c r="C149" s="9" t="n">
        <v>53828</v>
      </c>
      <c r="D149" s="9" t="n">
        <v>29466</v>
      </c>
      <c r="E149" s="7" t="s">
        <v>77</v>
      </c>
      <c r="F149" s="7" t="s">
        <v>82</v>
      </c>
      <c r="G149" s="20" t="n">
        <f aca="false">D149/C149</f>
        <v>0.547410269748087</v>
      </c>
      <c r="H149" s="7" t="n">
        <v>1</v>
      </c>
      <c r="I149" s="10" t="n">
        <v>0.7652</v>
      </c>
      <c r="J149" s="7" t="n">
        <f aca="false">IF(I149&gt;=Assumptions!$B$9,1,0)</f>
        <v>1</v>
      </c>
      <c r="K149" s="7" t="s">
        <v>79</v>
      </c>
    </row>
    <row r="150" customFormat="false" ht="15" hidden="false" customHeight="false" outlineLevel="0" collapsed="false">
      <c r="A150" s="7" t="s">
        <v>230</v>
      </c>
      <c r="B150" s="7" t="n">
        <v>35</v>
      </c>
      <c r="C150" s="9" t="n">
        <v>38711</v>
      </c>
      <c r="D150" s="9" t="n">
        <v>41939</v>
      </c>
      <c r="E150" s="7" t="s">
        <v>77</v>
      </c>
      <c r="F150" s="7" t="s">
        <v>78</v>
      </c>
      <c r="G150" s="20" t="n">
        <f aca="false">D150/C150</f>
        <v>1.08338715093901</v>
      </c>
      <c r="H150" s="7" t="n">
        <v>1</v>
      </c>
      <c r="I150" s="10" t="n">
        <v>0.7095</v>
      </c>
      <c r="J150" s="7" t="n">
        <f aca="false">IF(I150&gt;=Assumptions!$B$9,1,0)</f>
        <v>1</v>
      </c>
      <c r="K150" s="7" t="s">
        <v>79</v>
      </c>
    </row>
    <row r="151" customFormat="false" ht="15" hidden="false" customHeight="false" outlineLevel="0" collapsed="false">
      <c r="A151" s="7" t="s">
        <v>231</v>
      </c>
      <c r="B151" s="7" t="n">
        <v>63</v>
      </c>
      <c r="C151" s="9" t="n">
        <v>23420</v>
      </c>
      <c r="D151" s="9" t="n">
        <v>74896</v>
      </c>
      <c r="E151" s="7" t="s">
        <v>86</v>
      </c>
      <c r="F151" s="7" t="s">
        <v>78</v>
      </c>
      <c r="G151" s="20" t="n">
        <f aca="false">D151/C151</f>
        <v>3.19795046968403</v>
      </c>
      <c r="H151" s="7" t="n">
        <v>1</v>
      </c>
      <c r="I151" s="10" t="n">
        <v>0.9996</v>
      </c>
      <c r="J151" s="7" t="n">
        <f aca="false">IF(I151&gt;=Assumptions!$B$9,1,0)</f>
        <v>1</v>
      </c>
      <c r="K151" s="7" t="s">
        <v>84</v>
      </c>
    </row>
    <row r="152" customFormat="false" ht="15" hidden="false" customHeight="false" outlineLevel="0" collapsed="false">
      <c r="A152" s="7" t="s">
        <v>232</v>
      </c>
      <c r="B152" s="7" t="n">
        <v>49</v>
      </c>
      <c r="C152" s="9" t="n">
        <v>116752</v>
      </c>
      <c r="D152" s="9" t="n">
        <v>40270</v>
      </c>
      <c r="E152" s="7" t="s">
        <v>81</v>
      </c>
      <c r="F152" s="7" t="s">
        <v>82</v>
      </c>
      <c r="G152" s="20" t="n">
        <f aca="false">D152/C152</f>
        <v>0.34491914485405</v>
      </c>
      <c r="H152" s="7" t="n">
        <v>0</v>
      </c>
      <c r="I152" s="10" t="n">
        <v>0.011</v>
      </c>
      <c r="J152" s="7" t="n">
        <f aca="false">IF(I152&gt;=Assumptions!$B$9,1,0)</f>
        <v>0</v>
      </c>
      <c r="K152" s="7" t="s">
        <v>84</v>
      </c>
    </row>
    <row r="153" customFormat="false" ht="15" hidden="false" customHeight="false" outlineLevel="0" collapsed="false">
      <c r="A153" s="7" t="s">
        <v>233</v>
      </c>
      <c r="B153" s="7" t="n">
        <v>56</v>
      </c>
      <c r="C153" s="9" t="n">
        <v>20301</v>
      </c>
      <c r="D153" s="9" t="n">
        <v>64163</v>
      </c>
      <c r="E153" s="7" t="s">
        <v>86</v>
      </c>
      <c r="F153" s="7" t="s">
        <v>82</v>
      </c>
      <c r="G153" s="20" t="n">
        <f aca="false">D153/C153</f>
        <v>3.16058322250135</v>
      </c>
      <c r="H153" s="7" t="n">
        <v>1</v>
      </c>
      <c r="I153" s="10" t="n">
        <v>1</v>
      </c>
      <c r="J153" s="7" t="n">
        <f aca="false">IF(I153&gt;=Assumptions!$B$9,1,0)</f>
        <v>1</v>
      </c>
      <c r="K153" s="7" t="s">
        <v>79</v>
      </c>
    </row>
    <row r="154" customFormat="false" ht="15" hidden="false" customHeight="false" outlineLevel="0" collapsed="false">
      <c r="A154" s="7" t="s">
        <v>234</v>
      </c>
      <c r="B154" s="7" t="n">
        <v>33</v>
      </c>
      <c r="C154" s="9" t="n">
        <v>65236</v>
      </c>
      <c r="D154" s="9" t="n">
        <v>56934</v>
      </c>
      <c r="E154" s="7" t="s">
        <v>81</v>
      </c>
      <c r="F154" s="7" t="s">
        <v>78</v>
      </c>
      <c r="G154" s="20" t="n">
        <f aca="false">D154/C154</f>
        <v>0.872738978478141</v>
      </c>
      <c r="H154" s="7" t="n">
        <v>0</v>
      </c>
      <c r="I154" s="10" t="n">
        <v>0.012</v>
      </c>
      <c r="J154" s="7" t="n">
        <f aca="false">IF(I154&gt;=Assumptions!$B$9,1,0)</f>
        <v>0</v>
      </c>
      <c r="K154" s="7" t="s">
        <v>84</v>
      </c>
    </row>
    <row r="155" customFormat="false" ht="15" hidden="false" customHeight="false" outlineLevel="0" collapsed="false">
      <c r="A155" s="7" t="s">
        <v>235</v>
      </c>
      <c r="B155" s="7" t="n">
        <v>52</v>
      </c>
      <c r="C155" s="9" t="n">
        <v>86235</v>
      </c>
      <c r="D155" s="9" t="n">
        <v>69895</v>
      </c>
      <c r="E155" s="7" t="s">
        <v>86</v>
      </c>
      <c r="F155" s="7" t="s">
        <v>78</v>
      </c>
      <c r="G155" s="20" t="n">
        <f aca="false">D155/C155</f>
        <v>0.810517771206587</v>
      </c>
      <c r="H155" s="7" t="n">
        <v>0</v>
      </c>
      <c r="I155" s="10" t="n">
        <v>0.0384</v>
      </c>
      <c r="J155" s="7" t="n">
        <f aca="false">IF(I155&gt;=Assumptions!$B$9,1,0)</f>
        <v>0</v>
      </c>
      <c r="K155" s="7" t="s">
        <v>84</v>
      </c>
    </row>
    <row r="156" customFormat="false" ht="15" hidden="false" customHeight="false" outlineLevel="0" collapsed="false">
      <c r="A156" s="7" t="s">
        <v>236</v>
      </c>
      <c r="B156" s="7" t="n">
        <v>27</v>
      </c>
      <c r="C156" s="9" t="n">
        <v>74240</v>
      </c>
      <c r="D156" s="9" t="n">
        <v>37307</v>
      </c>
      <c r="E156" s="7" t="s">
        <v>86</v>
      </c>
      <c r="F156" s="7" t="s">
        <v>90</v>
      </c>
      <c r="G156" s="20" t="n">
        <f aca="false">D156/C156</f>
        <v>0.502518857758621</v>
      </c>
      <c r="H156" s="7" t="n">
        <v>0</v>
      </c>
      <c r="I156" s="10" t="n">
        <v>0.0114</v>
      </c>
      <c r="J156" s="7" t="n">
        <f aca="false">IF(I156&gt;=Assumptions!$B$9,1,0)</f>
        <v>0</v>
      </c>
      <c r="K156" s="7" t="s">
        <v>84</v>
      </c>
    </row>
    <row r="157" customFormat="false" ht="15" hidden="false" customHeight="false" outlineLevel="0" collapsed="false">
      <c r="A157" s="7" t="s">
        <v>237</v>
      </c>
      <c r="B157" s="7" t="n">
        <v>42</v>
      </c>
      <c r="C157" s="9" t="n">
        <v>85726</v>
      </c>
      <c r="D157" s="9" t="n">
        <v>59098</v>
      </c>
      <c r="E157" s="7" t="s">
        <v>77</v>
      </c>
      <c r="F157" s="7" t="s">
        <v>78</v>
      </c>
      <c r="G157" s="20" t="n">
        <f aca="false">D157/C157</f>
        <v>0.689382451065021</v>
      </c>
      <c r="H157" s="7" t="n">
        <v>0</v>
      </c>
      <c r="I157" s="10" t="n">
        <v>0.1694</v>
      </c>
      <c r="J157" s="7" t="n">
        <f aca="false">IF(I157&gt;=Assumptions!$B$9,1,0)</f>
        <v>0</v>
      </c>
      <c r="K157" s="7" t="s">
        <v>79</v>
      </c>
    </row>
    <row r="158" customFormat="false" ht="15" hidden="false" customHeight="false" outlineLevel="0" collapsed="false">
      <c r="A158" s="7" t="s">
        <v>238</v>
      </c>
      <c r="B158" s="7" t="n">
        <v>48</v>
      </c>
      <c r="C158" s="9" t="n">
        <v>30492</v>
      </c>
      <c r="D158" s="9" t="n">
        <v>65921</v>
      </c>
      <c r="E158" s="7" t="s">
        <v>81</v>
      </c>
      <c r="F158" s="7" t="s">
        <v>78</v>
      </c>
      <c r="G158" s="20" t="n">
        <f aca="false">D158/C158</f>
        <v>2.16191132100223</v>
      </c>
      <c r="H158" s="7" t="n">
        <v>1</v>
      </c>
      <c r="I158" s="10" t="n">
        <v>0.8136</v>
      </c>
      <c r="J158" s="7" t="n">
        <f aca="false">IF(I158&gt;=Assumptions!$B$9,1,0)</f>
        <v>1</v>
      </c>
      <c r="K158" s="7" t="s">
        <v>79</v>
      </c>
    </row>
    <row r="159" customFormat="false" ht="15" hidden="false" customHeight="false" outlineLevel="0" collapsed="false">
      <c r="A159" s="7" t="s">
        <v>239</v>
      </c>
      <c r="B159" s="7" t="n">
        <v>22</v>
      </c>
      <c r="C159" s="9" t="n">
        <v>26102</v>
      </c>
      <c r="D159" s="9" t="n">
        <v>10486</v>
      </c>
      <c r="E159" s="7" t="s">
        <v>81</v>
      </c>
      <c r="F159" s="7" t="s">
        <v>82</v>
      </c>
      <c r="G159" s="20" t="n">
        <f aca="false">D159/C159</f>
        <v>0.401731668071412</v>
      </c>
      <c r="H159" s="7" t="n">
        <v>0</v>
      </c>
      <c r="I159" s="10" t="n">
        <v>0.0708</v>
      </c>
      <c r="J159" s="7" t="n">
        <f aca="false">IF(I159&gt;=Assumptions!$B$9,1,0)</f>
        <v>0</v>
      </c>
      <c r="K159" s="7" t="s">
        <v>79</v>
      </c>
    </row>
    <row r="160" customFormat="false" ht="15" hidden="false" customHeight="false" outlineLevel="0" collapsed="false">
      <c r="A160" s="7" t="s">
        <v>240</v>
      </c>
      <c r="B160" s="7" t="n">
        <v>62</v>
      </c>
      <c r="C160" s="9" t="n">
        <v>70336</v>
      </c>
      <c r="D160" s="9" t="n">
        <v>13335</v>
      </c>
      <c r="E160" s="7" t="s">
        <v>77</v>
      </c>
      <c r="F160" s="7" t="s">
        <v>78</v>
      </c>
      <c r="G160" s="20" t="n">
        <f aca="false">D160/C160</f>
        <v>0.189589968152866</v>
      </c>
      <c r="H160" s="7" t="n">
        <v>0</v>
      </c>
      <c r="I160" s="10" t="n">
        <v>0.0218</v>
      </c>
      <c r="J160" s="7" t="n">
        <f aca="false">IF(I160&gt;=Assumptions!$B$9,1,0)</f>
        <v>0</v>
      </c>
      <c r="K160" s="7" t="s">
        <v>79</v>
      </c>
    </row>
    <row r="161" customFormat="false" ht="15" hidden="false" customHeight="false" outlineLevel="0" collapsed="false">
      <c r="A161" s="7" t="s">
        <v>241</v>
      </c>
      <c r="B161" s="7" t="n">
        <v>26</v>
      </c>
      <c r="C161" s="9" t="n">
        <v>105314</v>
      </c>
      <c r="D161" s="9" t="n">
        <v>16130</v>
      </c>
      <c r="E161" s="7" t="s">
        <v>77</v>
      </c>
      <c r="F161" s="7" t="s">
        <v>90</v>
      </c>
      <c r="G161" s="20" t="n">
        <f aca="false">D161/C161</f>
        <v>0.153161023225782</v>
      </c>
      <c r="H161" s="7" t="n">
        <v>0</v>
      </c>
      <c r="I161" s="10" t="n">
        <v>0.0121</v>
      </c>
      <c r="J161" s="7" t="n">
        <f aca="false">IF(I161&gt;=Assumptions!$B$9,1,0)</f>
        <v>0</v>
      </c>
      <c r="K161" s="7" t="s">
        <v>79</v>
      </c>
    </row>
    <row r="162" customFormat="false" ht="15" hidden="false" customHeight="false" outlineLevel="0" collapsed="false">
      <c r="A162" s="7" t="s">
        <v>242</v>
      </c>
      <c r="B162" s="7" t="n">
        <v>48</v>
      </c>
      <c r="C162" s="9" t="n">
        <v>46641</v>
      </c>
      <c r="D162" s="9" t="n">
        <v>65566</v>
      </c>
      <c r="E162" s="7" t="s">
        <v>77</v>
      </c>
      <c r="F162" s="7" t="s">
        <v>78</v>
      </c>
      <c r="G162" s="20" t="n">
        <f aca="false">D162/C162</f>
        <v>1.40575888167063</v>
      </c>
      <c r="H162" s="7" t="n">
        <v>1</v>
      </c>
      <c r="I162" s="10" t="n">
        <v>0.8805</v>
      </c>
      <c r="J162" s="7" t="n">
        <f aca="false">IF(I162&gt;=Assumptions!$B$9,1,0)</f>
        <v>1</v>
      </c>
      <c r="K162" s="7" t="s">
        <v>79</v>
      </c>
    </row>
    <row r="163" customFormat="false" ht="15" hidden="false" customHeight="false" outlineLevel="0" collapsed="false">
      <c r="A163" s="7" t="s">
        <v>243</v>
      </c>
      <c r="B163" s="7" t="n">
        <v>48</v>
      </c>
      <c r="C163" s="9" t="n">
        <v>54584</v>
      </c>
      <c r="D163" s="9" t="n">
        <v>71703</v>
      </c>
      <c r="E163" s="7" t="s">
        <v>77</v>
      </c>
      <c r="F163" s="7" t="s">
        <v>82</v>
      </c>
      <c r="G163" s="20" t="n">
        <f aca="false">D163/C163</f>
        <v>1.31362670379598</v>
      </c>
      <c r="H163" s="7" t="n">
        <v>1</v>
      </c>
      <c r="I163" s="10" t="n">
        <v>0.9904</v>
      </c>
      <c r="J163" s="7" t="n">
        <f aca="false">IF(I163&gt;=Assumptions!$B$9,1,0)</f>
        <v>1</v>
      </c>
      <c r="K163" s="7" t="s">
        <v>79</v>
      </c>
    </row>
    <row r="164" customFormat="false" ht="15" hidden="false" customHeight="false" outlineLevel="0" collapsed="false">
      <c r="A164" s="7" t="s">
        <v>244</v>
      </c>
      <c r="B164" s="7" t="n">
        <v>64</v>
      </c>
      <c r="C164" s="9" t="n">
        <v>52745</v>
      </c>
      <c r="D164" s="9" t="n">
        <v>32192</v>
      </c>
      <c r="E164" s="7" t="s">
        <v>81</v>
      </c>
      <c r="F164" s="7" t="s">
        <v>82</v>
      </c>
      <c r="G164" s="20" t="n">
        <f aca="false">D164/C164</f>
        <v>0.61033273296047</v>
      </c>
      <c r="H164" s="7" t="n">
        <v>0</v>
      </c>
      <c r="I164" s="10" t="n">
        <v>0.0672</v>
      </c>
      <c r="J164" s="7" t="n">
        <f aca="false">IF(I164&gt;=Assumptions!$B$9,1,0)</f>
        <v>0</v>
      </c>
      <c r="K164" s="7" t="s">
        <v>79</v>
      </c>
    </row>
    <row r="165" customFormat="false" ht="15" hidden="false" customHeight="false" outlineLevel="0" collapsed="false">
      <c r="A165" s="7" t="s">
        <v>245</v>
      </c>
      <c r="B165" s="7" t="n">
        <v>64</v>
      </c>
      <c r="C165" s="9" t="n">
        <v>43093</v>
      </c>
      <c r="D165" s="9" t="n">
        <v>6062</v>
      </c>
      <c r="E165" s="7" t="s">
        <v>81</v>
      </c>
      <c r="F165" s="7" t="s">
        <v>78</v>
      </c>
      <c r="G165" s="20" t="n">
        <f aca="false">D165/C165</f>
        <v>0.140672499013761</v>
      </c>
      <c r="H165" s="7" t="n">
        <v>0</v>
      </c>
      <c r="I165" s="10" t="n">
        <v>0.0005</v>
      </c>
      <c r="J165" s="7" t="n">
        <f aca="false">IF(I165&gt;=Assumptions!$B$9,1,0)</f>
        <v>0</v>
      </c>
      <c r="K165" s="7" t="s">
        <v>79</v>
      </c>
    </row>
    <row r="166" customFormat="false" ht="15" hidden="false" customHeight="false" outlineLevel="0" collapsed="false">
      <c r="A166" s="7" t="s">
        <v>246</v>
      </c>
      <c r="B166" s="7" t="n">
        <v>40</v>
      </c>
      <c r="C166" s="9" t="n">
        <v>86105</v>
      </c>
      <c r="D166" s="9" t="n">
        <v>26545</v>
      </c>
      <c r="E166" s="7" t="s">
        <v>86</v>
      </c>
      <c r="F166" s="7" t="s">
        <v>82</v>
      </c>
      <c r="G166" s="20" t="n">
        <f aca="false">D166/C166</f>
        <v>0.308286394518321</v>
      </c>
      <c r="H166" s="7" t="n">
        <v>0</v>
      </c>
      <c r="I166" s="10" t="n">
        <v>0.1115</v>
      </c>
      <c r="J166" s="7" t="n">
        <f aca="false">IF(I166&gt;=Assumptions!$B$9,1,0)</f>
        <v>0</v>
      </c>
      <c r="K166" s="7" t="s">
        <v>84</v>
      </c>
    </row>
    <row r="167" customFormat="false" ht="15" hidden="false" customHeight="false" outlineLevel="0" collapsed="false">
      <c r="A167" s="7" t="s">
        <v>247</v>
      </c>
      <c r="B167" s="7" t="n">
        <v>50</v>
      </c>
      <c r="C167" s="9" t="n">
        <v>71885</v>
      </c>
      <c r="D167" s="9" t="n">
        <v>26689</v>
      </c>
      <c r="E167" s="7" t="s">
        <v>86</v>
      </c>
      <c r="F167" s="7" t="s">
        <v>90</v>
      </c>
      <c r="G167" s="20" t="n">
        <f aca="false">D167/C167</f>
        <v>0.371273561939208</v>
      </c>
      <c r="H167" s="7" t="n">
        <v>0</v>
      </c>
      <c r="I167" s="10" t="n">
        <v>0.0049</v>
      </c>
      <c r="J167" s="7" t="n">
        <f aca="false">IF(I167&gt;=Assumptions!$B$9,1,0)</f>
        <v>0</v>
      </c>
      <c r="K167" s="7" t="s">
        <v>79</v>
      </c>
    </row>
    <row r="168" customFormat="false" ht="15" hidden="false" customHeight="false" outlineLevel="0" collapsed="false">
      <c r="A168" s="7" t="s">
        <v>248</v>
      </c>
      <c r="B168" s="7" t="n">
        <v>31</v>
      </c>
      <c r="C168" s="9" t="n">
        <v>56631</v>
      </c>
      <c r="D168" s="9" t="n">
        <v>16174</v>
      </c>
      <c r="E168" s="7" t="s">
        <v>77</v>
      </c>
      <c r="F168" s="7" t="s">
        <v>90</v>
      </c>
      <c r="G168" s="20" t="n">
        <f aca="false">D168/C168</f>
        <v>0.285603291483463</v>
      </c>
      <c r="H168" s="7" t="n">
        <v>0</v>
      </c>
      <c r="I168" s="10" t="n">
        <v>0.0395</v>
      </c>
      <c r="J168" s="7" t="n">
        <f aca="false">IF(I168&gt;=Assumptions!$B$9,1,0)</f>
        <v>0</v>
      </c>
      <c r="K168" s="7" t="s">
        <v>79</v>
      </c>
    </row>
    <row r="169" customFormat="false" ht="15" hidden="false" customHeight="false" outlineLevel="0" collapsed="false">
      <c r="A169" s="7" t="s">
        <v>249</v>
      </c>
      <c r="B169" s="7" t="n">
        <v>48</v>
      </c>
      <c r="C169" s="9" t="n">
        <v>92991</v>
      </c>
      <c r="D169" s="9" t="n">
        <v>14348</v>
      </c>
      <c r="E169" s="7" t="s">
        <v>77</v>
      </c>
      <c r="F169" s="7" t="s">
        <v>78</v>
      </c>
      <c r="G169" s="20" t="n">
        <f aca="false">D169/C169</f>
        <v>0.154294501618436</v>
      </c>
      <c r="H169" s="7" t="n">
        <v>0</v>
      </c>
      <c r="I169" s="10" t="n">
        <v>0.0164</v>
      </c>
      <c r="J169" s="7" t="n">
        <f aca="false">IF(I169&gt;=Assumptions!$B$9,1,0)</f>
        <v>0</v>
      </c>
      <c r="K169" s="7" t="s">
        <v>79</v>
      </c>
    </row>
    <row r="170" customFormat="false" ht="15" hidden="false" customHeight="false" outlineLevel="0" collapsed="false">
      <c r="A170" s="7" t="s">
        <v>250</v>
      </c>
      <c r="B170" s="7" t="n">
        <v>45</v>
      </c>
      <c r="C170" s="9" t="n">
        <v>24014</v>
      </c>
      <c r="D170" s="9" t="n">
        <v>28714</v>
      </c>
      <c r="E170" s="7" t="s">
        <v>77</v>
      </c>
      <c r="F170" s="7" t="s">
        <v>78</v>
      </c>
      <c r="G170" s="20" t="n">
        <f aca="false">D170/C170</f>
        <v>1.1957191638211</v>
      </c>
      <c r="H170" s="7" t="n">
        <v>1</v>
      </c>
      <c r="I170" s="10" t="n">
        <v>0.811</v>
      </c>
      <c r="J170" s="7" t="n">
        <f aca="false">IF(I170&gt;=Assumptions!$B$9,1,0)</f>
        <v>1</v>
      </c>
      <c r="K170" s="7" t="s">
        <v>79</v>
      </c>
    </row>
    <row r="171" customFormat="false" ht="15" hidden="false" customHeight="false" outlineLevel="0" collapsed="false">
      <c r="A171" s="7" t="s">
        <v>251</v>
      </c>
      <c r="B171" s="7" t="n">
        <v>59</v>
      </c>
      <c r="C171" s="9" t="n">
        <v>31093</v>
      </c>
      <c r="D171" s="9" t="n">
        <v>43102</v>
      </c>
      <c r="E171" s="7" t="s">
        <v>86</v>
      </c>
      <c r="F171" s="7" t="s">
        <v>78</v>
      </c>
      <c r="G171" s="20" t="n">
        <f aca="false">D171/C171</f>
        <v>1.38622841153957</v>
      </c>
      <c r="H171" s="7" t="n">
        <v>0</v>
      </c>
      <c r="I171" s="10" t="n">
        <v>0.4939</v>
      </c>
      <c r="J171" s="7" t="n">
        <f aca="false">IF(I171&gt;=Assumptions!$B$9,1,0)</f>
        <v>0</v>
      </c>
      <c r="K171" s="7" t="s">
        <v>79</v>
      </c>
    </row>
    <row r="172" customFormat="false" ht="15" hidden="false" customHeight="false" outlineLevel="0" collapsed="false">
      <c r="A172" s="7" t="s">
        <v>252</v>
      </c>
      <c r="B172" s="7" t="n">
        <v>53</v>
      </c>
      <c r="C172" s="9" t="n">
        <v>38070</v>
      </c>
      <c r="D172" s="9" t="n">
        <v>79460</v>
      </c>
      <c r="E172" s="7" t="s">
        <v>86</v>
      </c>
      <c r="F172" s="7" t="s">
        <v>82</v>
      </c>
      <c r="G172" s="20" t="n">
        <f aca="false">D172/C172</f>
        <v>2.08720777515104</v>
      </c>
      <c r="H172" s="7" t="n">
        <v>1</v>
      </c>
      <c r="I172" s="10" t="n">
        <v>0.9979</v>
      </c>
      <c r="J172" s="7" t="n">
        <f aca="false">IF(I172&gt;=Assumptions!$B$9,1,0)</f>
        <v>1</v>
      </c>
      <c r="K172" s="7" t="s">
        <v>79</v>
      </c>
    </row>
    <row r="173" customFormat="false" ht="15" hidden="false" customHeight="false" outlineLevel="0" collapsed="false">
      <c r="A173" s="7" t="s">
        <v>253</v>
      </c>
      <c r="B173" s="7" t="n">
        <v>21</v>
      </c>
      <c r="C173" s="9" t="n">
        <v>55777</v>
      </c>
      <c r="D173" s="9" t="n">
        <v>11801</v>
      </c>
      <c r="E173" s="7" t="s">
        <v>86</v>
      </c>
      <c r="F173" s="7" t="s">
        <v>90</v>
      </c>
      <c r="G173" s="20" t="n">
        <f aca="false">D173/C173</f>
        <v>0.211574663391721</v>
      </c>
      <c r="H173" s="7" t="n">
        <v>0</v>
      </c>
      <c r="I173" s="10" t="n">
        <v>0.0046</v>
      </c>
      <c r="J173" s="7" t="n">
        <f aca="false">IF(I173&gt;=Assumptions!$B$9,1,0)</f>
        <v>0</v>
      </c>
      <c r="K173" s="7" t="s">
        <v>84</v>
      </c>
    </row>
    <row r="174" customFormat="false" ht="15" hidden="false" customHeight="false" outlineLevel="0" collapsed="false">
      <c r="A174" s="7" t="s">
        <v>254</v>
      </c>
      <c r="B174" s="7" t="n">
        <v>47</v>
      </c>
      <c r="C174" s="9" t="n">
        <v>76958</v>
      </c>
      <c r="D174" s="9" t="n">
        <v>77267</v>
      </c>
      <c r="E174" s="7" t="s">
        <v>86</v>
      </c>
      <c r="F174" s="7" t="s">
        <v>90</v>
      </c>
      <c r="G174" s="20" t="n">
        <f aca="false">D174/C174</f>
        <v>1.00401517710959</v>
      </c>
      <c r="H174" s="7" t="n">
        <v>0</v>
      </c>
      <c r="I174" s="10" t="n">
        <v>0.0688</v>
      </c>
      <c r="J174" s="7" t="n">
        <f aca="false">IF(I174&gt;=Assumptions!$B$9,1,0)</f>
        <v>0</v>
      </c>
      <c r="K174" s="7" t="s">
        <v>79</v>
      </c>
    </row>
    <row r="175" customFormat="false" ht="15" hidden="false" customHeight="false" outlineLevel="0" collapsed="false">
      <c r="A175" s="7" t="s">
        <v>255</v>
      </c>
      <c r="B175" s="7" t="n">
        <v>33</v>
      </c>
      <c r="C175" s="9" t="n">
        <v>102074</v>
      </c>
      <c r="D175" s="9" t="n">
        <v>53136</v>
      </c>
      <c r="E175" s="7" t="s">
        <v>86</v>
      </c>
      <c r="F175" s="7" t="s">
        <v>82</v>
      </c>
      <c r="G175" s="20" t="n">
        <f aca="false">D175/C175</f>
        <v>0.520563512745655</v>
      </c>
      <c r="H175" s="7" t="n">
        <v>0</v>
      </c>
      <c r="I175" s="10" t="n">
        <v>0.2155</v>
      </c>
      <c r="J175" s="7" t="n">
        <f aca="false">IF(I175&gt;=Assumptions!$B$9,1,0)</f>
        <v>0</v>
      </c>
      <c r="K175" s="7" t="s">
        <v>79</v>
      </c>
    </row>
    <row r="176" customFormat="false" ht="15" hidden="false" customHeight="false" outlineLevel="0" collapsed="false">
      <c r="A176" s="7" t="s">
        <v>256</v>
      </c>
      <c r="B176" s="7" t="n">
        <v>61</v>
      </c>
      <c r="C176" s="9" t="n">
        <v>30729</v>
      </c>
      <c r="D176" s="9" t="n">
        <v>28625</v>
      </c>
      <c r="E176" s="7" t="s">
        <v>86</v>
      </c>
      <c r="F176" s="7" t="s">
        <v>90</v>
      </c>
      <c r="G176" s="20" t="n">
        <f aca="false">D176/C176</f>
        <v>0.931530476097498</v>
      </c>
      <c r="H176" s="7" t="n">
        <v>0</v>
      </c>
      <c r="I176" s="10" t="n">
        <v>0.0801</v>
      </c>
      <c r="J176" s="7" t="n">
        <f aca="false">IF(I176&gt;=Assumptions!$B$9,1,0)</f>
        <v>0</v>
      </c>
      <c r="K176" s="7" t="s">
        <v>79</v>
      </c>
    </row>
    <row r="177" customFormat="false" ht="15" hidden="false" customHeight="false" outlineLevel="0" collapsed="false">
      <c r="A177" s="7" t="s">
        <v>257</v>
      </c>
      <c r="B177" s="7" t="n">
        <v>23</v>
      </c>
      <c r="C177" s="9" t="n">
        <v>119713</v>
      </c>
      <c r="D177" s="9" t="n">
        <v>77592</v>
      </c>
      <c r="E177" s="7" t="s">
        <v>86</v>
      </c>
      <c r="F177" s="7" t="s">
        <v>78</v>
      </c>
      <c r="G177" s="20" t="n">
        <f aca="false">D177/C177</f>
        <v>0.648150159130587</v>
      </c>
      <c r="H177" s="7" t="n">
        <v>0</v>
      </c>
      <c r="I177" s="10" t="n">
        <v>0.0177</v>
      </c>
      <c r="J177" s="7" t="n">
        <f aca="false">IF(I177&gt;=Assumptions!$B$9,1,0)</f>
        <v>0</v>
      </c>
      <c r="K177" s="7" t="s">
        <v>84</v>
      </c>
    </row>
    <row r="178" customFormat="false" ht="15" hidden="false" customHeight="false" outlineLevel="0" collapsed="false">
      <c r="A178" s="7" t="s">
        <v>258</v>
      </c>
      <c r="B178" s="7" t="n">
        <v>59</v>
      </c>
      <c r="C178" s="9" t="n">
        <v>65017</v>
      </c>
      <c r="D178" s="9" t="n">
        <v>49261</v>
      </c>
      <c r="E178" s="7" t="s">
        <v>77</v>
      </c>
      <c r="F178" s="7" t="s">
        <v>78</v>
      </c>
      <c r="G178" s="20" t="n">
        <f aca="false">D178/C178</f>
        <v>0.757663380346679</v>
      </c>
      <c r="H178" s="7" t="n">
        <v>0</v>
      </c>
      <c r="I178" s="10" t="n">
        <v>0.2269</v>
      </c>
      <c r="J178" s="7" t="n">
        <f aca="false">IF(I178&gt;=Assumptions!$B$9,1,0)</f>
        <v>0</v>
      </c>
      <c r="K178" s="7" t="s">
        <v>84</v>
      </c>
    </row>
    <row r="179" customFormat="false" ht="15" hidden="false" customHeight="false" outlineLevel="0" collapsed="false">
      <c r="A179" s="7" t="s">
        <v>259</v>
      </c>
      <c r="B179" s="7" t="n">
        <v>26</v>
      </c>
      <c r="C179" s="9" t="n">
        <v>86320</v>
      </c>
      <c r="D179" s="9" t="n">
        <v>6542</v>
      </c>
      <c r="E179" s="7" t="s">
        <v>77</v>
      </c>
      <c r="F179" s="7" t="s">
        <v>78</v>
      </c>
      <c r="G179" s="20" t="n">
        <f aca="false">D179/C179</f>
        <v>0.0757877664504171</v>
      </c>
      <c r="H179" s="7" t="n">
        <v>0</v>
      </c>
      <c r="I179" s="10" t="n">
        <v>0.0173</v>
      </c>
      <c r="J179" s="7" t="n">
        <f aca="false">IF(I179&gt;=Assumptions!$B$9,1,0)</f>
        <v>0</v>
      </c>
      <c r="K179" s="7" t="s">
        <v>79</v>
      </c>
    </row>
    <row r="180" customFormat="false" ht="15" hidden="false" customHeight="false" outlineLevel="0" collapsed="false">
      <c r="A180" s="7" t="s">
        <v>260</v>
      </c>
      <c r="B180" s="7" t="n">
        <v>28</v>
      </c>
      <c r="C180" s="9" t="n">
        <v>47751</v>
      </c>
      <c r="D180" s="9" t="n">
        <v>26677</v>
      </c>
      <c r="E180" s="7" t="s">
        <v>77</v>
      </c>
      <c r="F180" s="7" t="s">
        <v>90</v>
      </c>
      <c r="G180" s="20" t="n">
        <f aca="false">D180/C180</f>
        <v>0.558668928399405</v>
      </c>
      <c r="H180" s="7" t="n">
        <v>0</v>
      </c>
      <c r="I180" s="10" t="n">
        <v>0.1371</v>
      </c>
      <c r="J180" s="7" t="n">
        <f aca="false">IF(I180&gt;=Assumptions!$B$9,1,0)</f>
        <v>0</v>
      </c>
      <c r="K180" s="7" t="s">
        <v>79</v>
      </c>
    </row>
    <row r="181" customFormat="false" ht="15" hidden="false" customHeight="false" outlineLevel="0" collapsed="false">
      <c r="A181" s="7" t="s">
        <v>261</v>
      </c>
      <c r="B181" s="7" t="n">
        <v>47</v>
      </c>
      <c r="C181" s="9" t="n">
        <v>98069</v>
      </c>
      <c r="D181" s="9" t="n">
        <v>51732</v>
      </c>
      <c r="E181" s="7" t="s">
        <v>77</v>
      </c>
      <c r="F181" s="7" t="s">
        <v>78</v>
      </c>
      <c r="G181" s="20" t="n">
        <f aca="false">D181/C181</f>
        <v>0.527506143633564</v>
      </c>
      <c r="H181" s="7" t="n">
        <v>0</v>
      </c>
      <c r="I181" s="10" t="n">
        <v>0.0732</v>
      </c>
      <c r="J181" s="7" t="n">
        <f aca="false">IF(I181&gt;=Assumptions!$B$9,1,0)</f>
        <v>0</v>
      </c>
      <c r="K181" s="7" t="s">
        <v>79</v>
      </c>
    </row>
    <row r="182" customFormat="false" ht="15" hidden="false" customHeight="false" outlineLevel="0" collapsed="false">
      <c r="A182" s="7" t="s">
        <v>262</v>
      </c>
      <c r="B182" s="7" t="n">
        <v>29</v>
      </c>
      <c r="C182" s="9" t="n">
        <v>74748</v>
      </c>
      <c r="D182" s="9" t="n">
        <v>55343</v>
      </c>
      <c r="E182" s="7" t="s">
        <v>86</v>
      </c>
      <c r="F182" s="7" t="s">
        <v>82</v>
      </c>
      <c r="G182" s="20" t="n">
        <f aca="false">D182/C182</f>
        <v>0.740394391823193</v>
      </c>
      <c r="H182" s="7" t="n">
        <v>0</v>
      </c>
      <c r="I182" s="10" t="n">
        <v>0.5276</v>
      </c>
      <c r="J182" s="7" t="n">
        <f aca="false">IF(I182&gt;=Assumptions!$B$9,1,0)</f>
        <v>1</v>
      </c>
      <c r="K182" s="7" t="s">
        <v>84</v>
      </c>
    </row>
    <row r="183" customFormat="false" ht="15" hidden="false" customHeight="false" outlineLevel="0" collapsed="false">
      <c r="A183" s="7" t="s">
        <v>263</v>
      </c>
      <c r="B183" s="7" t="n">
        <v>57</v>
      </c>
      <c r="C183" s="9" t="n">
        <v>25801</v>
      </c>
      <c r="D183" s="9" t="n">
        <v>44081</v>
      </c>
      <c r="E183" s="7" t="s">
        <v>81</v>
      </c>
      <c r="F183" s="7" t="s">
        <v>82</v>
      </c>
      <c r="G183" s="20" t="n">
        <f aca="false">D183/C183</f>
        <v>1.7084996705554</v>
      </c>
      <c r="H183" s="7" t="n">
        <v>1</v>
      </c>
      <c r="I183" s="10" t="n">
        <v>0.9316</v>
      </c>
      <c r="J183" s="7" t="n">
        <f aca="false">IF(I183&gt;=Assumptions!$B$9,1,0)</f>
        <v>1</v>
      </c>
      <c r="K183" s="7" t="s">
        <v>84</v>
      </c>
    </row>
    <row r="184" customFormat="false" ht="15" hidden="false" customHeight="false" outlineLevel="0" collapsed="false">
      <c r="A184" s="7" t="s">
        <v>264</v>
      </c>
      <c r="B184" s="7" t="n">
        <v>53</v>
      </c>
      <c r="C184" s="9" t="n">
        <v>39190</v>
      </c>
      <c r="D184" s="9" t="n">
        <v>67856</v>
      </c>
      <c r="E184" s="7" t="s">
        <v>86</v>
      </c>
      <c r="F184" s="7" t="s">
        <v>90</v>
      </c>
      <c r="G184" s="20" t="n">
        <f aca="false">D184/C184</f>
        <v>1.73146210768053</v>
      </c>
      <c r="H184" s="7" t="n">
        <v>1</v>
      </c>
      <c r="I184" s="10" t="n">
        <v>0.733</v>
      </c>
      <c r="J184" s="7" t="n">
        <f aca="false">IF(I184&gt;=Assumptions!$B$9,1,0)</f>
        <v>1</v>
      </c>
      <c r="K184" s="7" t="s">
        <v>84</v>
      </c>
    </row>
    <row r="185" customFormat="false" ht="15" hidden="false" customHeight="false" outlineLevel="0" collapsed="false">
      <c r="A185" s="7" t="s">
        <v>265</v>
      </c>
      <c r="B185" s="7" t="n">
        <v>62</v>
      </c>
      <c r="C185" s="9" t="n">
        <v>69689</v>
      </c>
      <c r="D185" s="9" t="n">
        <v>24065</v>
      </c>
      <c r="E185" s="7" t="s">
        <v>81</v>
      </c>
      <c r="F185" s="7" t="s">
        <v>82</v>
      </c>
      <c r="G185" s="20" t="n">
        <f aca="false">D185/C185</f>
        <v>0.345319921364921</v>
      </c>
      <c r="H185" s="7" t="n">
        <v>0</v>
      </c>
      <c r="I185" s="10" t="n">
        <v>0.0181</v>
      </c>
      <c r="J185" s="7" t="n">
        <f aca="false">IF(I185&gt;=Assumptions!$B$9,1,0)</f>
        <v>0</v>
      </c>
      <c r="K185" s="7" t="s">
        <v>79</v>
      </c>
    </row>
    <row r="186" customFormat="false" ht="15" hidden="false" customHeight="false" outlineLevel="0" collapsed="false">
      <c r="A186" s="7" t="s">
        <v>266</v>
      </c>
      <c r="B186" s="7" t="n">
        <v>64</v>
      </c>
      <c r="C186" s="9" t="n">
        <v>70993</v>
      </c>
      <c r="D186" s="9" t="n">
        <v>59693</v>
      </c>
      <c r="E186" s="7" t="s">
        <v>77</v>
      </c>
      <c r="F186" s="7" t="s">
        <v>82</v>
      </c>
      <c r="G186" s="20" t="n">
        <f aca="false">D186/C186</f>
        <v>0.840829377544265</v>
      </c>
      <c r="H186" s="7" t="n">
        <v>1</v>
      </c>
      <c r="I186" s="10" t="n">
        <v>0.8943</v>
      </c>
      <c r="J186" s="7" t="n">
        <f aca="false">IF(I186&gt;=Assumptions!$B$9,1,0)</f>
        <v>1</v>
      </c>
      <c r="K186" s="7" t="s">
        <v>84</v>
      </c>
    </row>
    <row r="187" customFormat="false" ht="15" hidden="false" customHeight="false" outlineLevel="0" collapsed="false">
      <c r="A187" s="7" t="s">
        <v>267</v>
      </c>
      <c r="B187" s="7" t="n">
        <v>44</v>
      </c>
      <c r="C187" s="9" t="n">
        <v>49592</v>
      </c>
      <c r="D187" s="9" t="n">
        <v>31962</v>
      </c>
      <c r="E187" s="7" t="s">
        <v>86</v>
      </c>
      <c r="F187" s="7" t="s">
        <v>90</v>
      </c>
      <c r="G187" s="20" t="n">
        <f aca="false">D187/C187</f>
        <v>0.644499112760123</v>
      </c>
      <c r="H187" s="7" t="n">
        <v>0</v>
      </c>
      <c r="I187" s="10" t="n">
        <v>0.0235</v>
      </c>
      <c r="J187" s="7" t="n">
        <f aca="false">IF(I187&gt;=Assumptions!$B$9,1,0)</f>
        <v>0</v>
      </c>
      <c r="K187" s="7" t="s">
        <v>84</v>
      </c>
    </row>
    <row r="188" customFormat="false" ht="15" hidden="false" customHeight="false" outlineLevel="0" collapsed="false">
      <c r="A188" s="7" t="s">
        <v>268</v>
      </c>
      <c r="B188" s="7" t="n">
        <v>35</v>
      </c>
      <c r="C188" s="9" t="n">
        <v>30647</v>
      </c>
      <c r="D188" s="9" t="n">
        <v>33295</v>
      </c>
      <c r="E188" s="7" t="s">
        <v>77</v>
      </c>
      <c r="F188" s="7" t="s">
        <v>78</v>
      </c>
      <c r="G188" s="20" t="n">
        <f aca="false">D188/C188</f>
        <v>1.08640323685842</v>
      </c>
      <c r="H188" s="7" t="n">
        <v>1</v>
      </c>
      <c r="I188" s="10" t="n">
        <v>0.7356</v>
      </c>
      <c r="J188" s="7" t="n">
        <f aca="false">IF(I188&gt;=Assumptions!$B$9,1,0)</f>
        <v>1</v>
      </c>
      <c r="K188" s="7" t="s">
        <v>84</v>
      </c>
    </row>
    <row r="189" customFormat="false" ht="15" hidden="false" customHeight="false" outlineLevel="0" collapsed="false">
      <c r="A189" s="7" t="s">
        <v>269</v>
      </c>
      <c r="B189" s="7" t="n">
        <v>52</v>
      </c>
      <c r="C189" s="9" t="n">
        <v>28716</v>
      </c>
      <c r="D189" s="9" t="n">
        <v>18807</v>
      </c>
      <c r="E189" s="7" t="s">
        <v>86</v>
      </c>
      <c r="F189" s="7" t="s">
        <v>78</v>
      </c>
      <c r="G189" s="20" t="n">
        <f aca="false">D189/C189</f>
        <v>0.654931048892604</v>
      </c>
      <c r="H189" s="7" t="n">
        <v>0</v>
      </c>
      <c r="I189" s="10" t="n">
        <v>0.0447</v>
      </c>
      <c r="J189" s="7" t="n">
        <f aca="false">IF(I189&gt;=Assumptions!$B$9,1,0)</f>
        <v>0</v>
      </c>
      <c r="K189" s="7" t="s">
        <v>79</v>
      </c>
    </row>
    <row r="190" customFormat="false" ht="15" hidden="false" customHeight="false" outlineLevel="0" collapsed="false">
      <c r="A190" s="7" t="s">
        <v>270</v>
      </c>
      <c r="B190" s="7" t="n">
        <v>52</v>
      </c>
      <c r="C190" s="9" t="n">
        <v>108891</v>
      </c>
      <c r="D190" s="9" t="n">
        <v>47348</v>
      </c>
      <c r="E190" s="7" t="s">
        <v>77</v>
      </c>
      <c r="F190" s="7" t="s">
        <v>78</v>
      </c>
      <c r="G190" s="20" t="n">
        <f aca="false">D190/C190</f>
        <v>0.43482014124216</v>
      </c>
      <c r="H190" s="7" t="n">
        <v>0</v>
      </c>
      <c r="I190" s="10" t="n">
        <v>0.0405</v>
      </c>
      <c r="J190" s="7" t="n">
        <f aca="false">IF(I190&gt;=Assumptions!$B$9,1,0)</f>
        <v>0</v>
      </c>
      <c r="K190" s="7" t="s">
        <v>79</v>
      </c>
    </row>
    <row r="191" customFormat="false" ht="15" hidden="false" customHeight="false" outlineLevel="0" collapsed="false">
      <c r="A191" s="7" t="s">
        <v>271</v>
      </c>
      <c r="B191" s="7" t="n">
        <v>44</v>
      </c>
      <c r="C191" s="9" t="n">
        <v>107545</v>
      </c>
      <c r="D191" s="9" t="n">
        <v>31432</v>
      </c>
      <c r="E191" s="7" t="s">
        <v>81</v>
      </c>
      <c r="F191" s="7" t="s">
        <v>90</v>
      </c>
      <c r="G191" s="20" t="n">
        <f aca="false">D191/C191</f>
        <v>0.292268352782556</v>
      </c>
      <c r="H191" s="7" t="n">
        <v>0</v>
      </c>
      <c r="I191" s="10" t="n">
        <v>0.0003</v>
      </c>
      <c r="J191" s="7" t="n">
        <f aca="false">IF(I191&gt;=Assumptions!$B$9,1,0)</f>
        <v>0</v>
      </c>
      <c r="K191" s="7" t="s">
        <v>79</v>
      </c>
    </row>
    <row r="192" customFormat="false" ht="15" hidden="false" customHeight="false" outlineLevel="0" collapsed="false">
      <c r="A192" s="7" t="s">
        <v>272</v>
      </c>
      <c r="B192" s="7" t="n">
        <v>61</v>
      </c>
      <c r="C192" s="9" t="n">
        <v>109912</v>
      </c>
      <c r="D192" s="9" t="n">
        <v>62854</v>
      </c>
      <c r="E192" s="7" t="s">
        <v>81</v>
      </c>
      <c r="F192" s="7" t="s">
        <v>82</v>
      </c>
      <c r="G192" s="20" t="n">
        <f aca="false">D192/C192</f>
        <v>0.571857485988791</v>
      </c>
      <c r="H192" s="7" t="n">
        <v>0</v>
      </c>
      <c r="I192" s="10" t="n">
        <v>0.027</v>
      </c>
      <c r="J192" s="7" t="n">
        <f aca="false">IF(I192&gt;=Assumptions!$B$9,1,0)</f>
        <v>0</v>
      </c>
      <c r="K192" s="7" t="s">
        <v>84</v>
      </c>
    </row>
    <row r="193" customFormat="false" ht="15" hidden="false" customHeight="false" outlineLevel="0" collapsed="false">
      <c r="A193" s="7" t="s">
        <v>273</v>
      </c>
      <c r="B193" s="7" t="n">
        <v>32</v>
      </c>
      <c r="C193" s="9" t="n">
        <v>90316</v>
      </c>
      <c r="D193" s="9" t="n">
        <v>45262</v>
      </c>
      <c r="E193" s="7" t="s">
        <v>81</v>
      </c>
      <c r="F193" s="7" t="s">
        <v>78</v>
      </c>
      <c r="G193" s="20" t="n">
        <f aca="false">D193/C193</f>
        <v>0.501151512467337</v>
      </c>
      <c r="H193" s="7" t="n">
        <v>0</v>
      </c>
      <c r="I193" s="10" t="n">
        <v>0.0017</v>
      </c>
      <c r="J193" s="7" t="n">
        <f aca="false">IF(I193&gt;=Assumptions!$B$9,1,0)</f>
        <v>0</v>
      </c>
      <c r="K193" s="7" t="s">
        <v>79</v>
      </c>
    </row>
    <row r="194" customFormat="false" ht="15" hidden="false" customHeight="false" outlineLevel="0" collapsed="false">
      <c r="A194" s="7" t="s">
        <v>274</v>
      </c>
      <c r="B194" s="7" t="n">
        <v>59</v>
      </c>
      <c r="C194" s="9" t="n">
        <v>22368</v>
      </c>
      <c r="D194" s="9" t="n">
        <v>42080</v>
      </c>
      <c r="E194" s="7" t="s">
        <v>86</v>
      </c>
      <c r="F194" s="7" t="s">
        <v>78</v>
      </c>
      <c r="G194" s="20" t="n">
        <f aca="false">D194/C194</f>
        <v>1.88125894134478</v>
      </c>
      <c r="H194" s="7" t="n">
        <v>1</v>
      </c>
      <c r="I194" s="10" t="n">
        <v>0.9043</v>
      </c>
      <c r="J194" s="7" t="n">
        <f aca="false">IF(I194&gt;=Assumptions!$B$9,1,0)</f>
        <v>1</v>
      </c>
      <c r="K194" s="7" t="s">
        <v>79</v>
      </c>
    </row>
    <row r="195" customFormat="false" ht="15" hidden="false" customHeight="false" outlineLevel="0" collapsed="false">
      <c r="A195" s="7" t="s">
        <v>275</v>
      </c>
      <c r="B195" s="7" t="n">
        <v>22</v>
      </c>
      <c r="C195" s="9" t="n">
        <v>97575</v>
      </c>
      <c r="D195" s="9" t="n">
        <v>6324</v>
      </c>
      <c r="E195" s="7" t="s">
        <v>81</v>
      </c>
      <c r="F195" s="7" t="s">
        <v>90</v>
      </c>
      <c r="G195" s="20" t="n">
        <f aca="false">D195/C195</f>
        <v>0.0648116833205227</v>
      </c>
      <c r="H195" s="7" t="n">
        <v>0</v>
      </c>
      <c r="I195" s="10" t="n">
        <v>0.0002</v>
      </c>
      <c r="J195" s="7" t="n">
        <f aca="false">IF(I195&gt;=Assumptions!$B$9,1,0)</f>
        <v>0</v>
      </c>
      <c r="K195" s="7" t="s">
        <v>79</v>
      </c>
    </row>
    <row r="196" customFormat="false" ht="15" hidden="false" customHeight="false" outlineLevel="0" collapsed="false">
      <c r="A196" s="7" t="s">
        <v>276</v>
      </c>
      <c r="B196" s="7" t="n">
        <v>23</v>
      </c>
      <c r="C196" s="9" t="n">
        <v>26655</v>
      </c>
      <c r="D196" s="9" t="n">
        <v>40909</v>
      </c>
      <c r="E196" s="7" t="s">
        <v>86</v>
      </c>
      <c r="F196" s="7" t="s">
        <v>78</v>
      </c>
      <c r="G196" s="20" t="n">
        <f aca="false">D196/C196</f>
        <v>1.53475895704371</v>
      </c>
      <c r="H196" s="7" t="n">
        <v>1</v>
      </c>
      <c r="I196" s="10" t="n">
        <v>0.7638</v>
      </c>
      <c r="J196" s="7" t="n">
        <f aca="false">IF(I196&gt;=Assumptions!$B$9,1,0)</f>
        <v>1</v>
      </c>
      <c r="K196" s="7" t="s">
        <v>79</v>
      </c>
    </row>
    <row r="197" customFormat="false" ht="15" hidden="false" customHeight="false" outlineLevel="0" collapsed="false">
      <c r="A197" s="7" t="s">
        <v>277</v>
      </c>
      <c r="B197" s="7" t="n">
        <v>57</v>
      </c>
      <c r="C197" s="9" t="n">
        <v>90031</v>
      </c>
      <c r="D197" s="9" t="n">
        <v>24870</v>
      </c>
      <c r="E197" s="7" t="s">
        <v>81</v>
      </c>
      <c r="F197" s="7" t="s">
        <v>90</v>
      </c>
      <c r="G197" s="20" t="n">
        <f aca="false">D197/C197</f>
        <v>0.276238184625296</v>
      </c>
      <c r="H197" s="7" t="n">
        <v>0</v>
      </c>
      <c r="I197" s="10" t="n">
        <v>0.0003</v>
      </c>
      <c r="J197" s="7" t="n">
        <f aca="false">IF(I197&gt;=Assumptions!$B$9,1,0)</f>
        <v>0</v>
      </c>
      <c r="K197" s="7" t="s">
        <v>79</v>
      </c>
    </row>
    <row r="198" customFormat="false" ht="15" hidden="false" customHeight="false" outlineLevel="0" collapsed="false">
      <c r="A198" s="7" t="s">
        <v>278</v>
      </c>
      <c r="B198" s="7" t="n">
        <v>37</v>
      </c>
      <c r="C198" s="9" t="n">
        <v>96429</v>
      </c>
      <c r="D198" s="9" t="n">
        <v>39578</v>
      </c>
      <c r="E198" s="7" t="s">
        <v>81</v>
      </c>
      <c r="F198" s="7" t="s">
        <v>82</v>
      </c>
      <c r="G198" s="20" t="n">
        <f aca="false">D198/C198</f>
        <v>0.410436694355433</v>
      </c>
      <c r="H198" s="7" t="n">
        <v>0</v>
      </c>
      <c r="I198" s="10" t="n">
        <v>0.0227</v>
      </c>
      <c r="J198" s="7" t="n">
        <f aca="false">IF(I198&gt;=Assumptions!$B$9,1,0)</f>
        <v>0</v>
      </c>
      <c r="K198" s="7" t="s">
        <v>84</v>
      </c>
    </row>
    <row r="199" customFormat="false" ht="15" hidden="false" customHeight="false" outlineLevel="0" collapsed="false">
      <c r="A199" s="7" t="s">
        <v>279</v>
      </c>
      <c r="B199" s="7" t="n">
        <v>22</v>
      </c>
      <c r="C199" s="9" t="n">
        <v>111083</v>
      </c>
      <c r="D199" s="9" t="n">
        <v>77124</v>
      </c>
      <c r="E199" s="7" t="s">
        <v>86</v>
      </c>
      <c r="F199" s="7" t="s">
        <v>90</v>
      </c>
      <c r="G199" s="20" t="n">
        <f aca="false">D199/C199</f>
        <v>0.694291655788915</v>
      </c>
      <c r="H199" s="7" t="n">
        <v>0</v>
      </c>
      <c r="I199" s="10" t="n">
        <v>0.0163</v>
      </c>
      <c r="J199" s="7" t="n">
        <f aca="false">IF(I199&gt;=Assumptions!$B$9,1,0)</f>
        <v>0</v>
      </c>
      <c r="K199" s="7" t="s">
        <v>79</v>
      </c>
    </row>
    <row r="200" customFormat="false" ht="15" hidden="false" customHeight="false" outlineLevel="0" collapsed="false">
      <c r="A200" s="7" t="s">
        <v>280</v>
      </c>
      <c r="B200" s="7" t="n">
        <v>22</v>
      </c>
      <c r="C200" s="9" t="n">
        <v>107922</v>
      </c>
      <c r="D200" s="9" t="n">
        <v>31790</v>
      </c>
      <c r="E200" s="7" t="s">
        <v>86</v>
      </c>
      <c r="F200" s="7" t="s">
        <v>90</v>
      </c>
      <c r="G200" s="20" t="n">
        <f aca="false">D200/C200</f>
        <v>0.294564592946758</v>
      </c>
      <c r="H200" s="7" t="n">
        <v>0</v>
      </c>
      <c r="I200" s="10" t="n">
        <v>0.0031</v>
      </c>
      <c r="J200" s="7" t="n">
        <f aca="false">IF(I200&gt;=Assumptions!$B$9,1,0)</f>
        <v>0</v>
      </c>
      <c r="K200" s="7" t="s">
        <v>79</v>
      </c>
    </row>
    <row r="201" customFormat="false" ht="15" hidden="false" customHeight="false" outlineLevel="0" collapsed="false">
      <c r="A201" s="7" t="s">
        <v>281</v>
      </c>
      <c r="B201" s="7" t="n">
        <v>48</v>
      </c>
      <c r="C201" s="9" t="n">
        <v>75766</v>
      </c>
      <c r="D201" s="9" t="n">
        <v>30289</v>
      </c>
      <c r="E201" s="7" t="s">
        <v>81</v>
      </c>
      <c r="F201" s="7" t="s">
        <v>90</v>
      </c>
      <c r="G201" s="20" t="n">
        <f aca="false">D201/C201</f>
        <v>0.399770345537576</v>
      </c>
      <c r="H201" s="7" t="n">
        <v>0</v>
      </c>
      <c r="I201" s="10" t="n">
        <v>0.0007</v>
      </c>
      <c r="J201" s="7" t="n">
        <f aca="false">IF(I201&gt;=Assumptions!$B$9,1,0)</f>
        <v>0</v>
      </c>
      <c r="K201" s="7" t="s">
        <v>84</v>
      </c>
    </row>
    <row r="202" customFormat="false" ht="15" hidden="false" customHeight="false" outlineLevel="0" collapsed="false">
      <c r="A202" s="7" t="s">
        <v>282</v>
      </c>
      <c r="B202" s="7" t="n">
        <v>43</v>
      </c>
      <c r="C202" s="9" t="n">
        <v>33403</v>
      </c>
      <c r="D202" s="9" t="n">
        <v>60129</v>
      </c>
      <c r="E202" s="7" t="s">
        <v>86</v>
      </c>
      <c r="F202" s="7" t="s">
        <v>90</v>
      </c>
      <c r="G202" s="20" t="n">
        <f aca="false">D202/C202</f>
        <v>1.80010777475077</v>
      </c>
      <c r="H202" s="7" t="n">
        <v>1</v>
      </c>
      <c r="I202" s="10" t="n">
        <v>0.8216</v>
      </c>
      <c r="J202" s="7" t="n">
        <f aca="false">IF(I202&gt;=Assumptions!$B$9,1,0)</f>
        <v>1</v>
      </c>
      <c r="K202" s="7" t="s">
        <v>79</v>
      </c>
    </row>
    <row r="203" customFormat="false" ht="15" hidden="false" customHeight="false" outlineLevel="0" collapsed="false">
      <c r="A203" s="7" t="s">
        <v>283</v>
      </c>
      <c r="B203" s="7" t="n">
        <v>57</v>
      </c>
      <c r="C203" s="9" t="n">
        <v>52097</v>
      </c>
      <c r="D203" s="9" t="n">
        <v>20485</v>
      </c>
      <c r="E203" s="7" t="s">
        <v>81</v>
      </c>
      <c r="F203" s="7" t="s">
        <v>82</v>
      </c>
      <c r="G203" s="20" t="n">
        <f aca="false">D203/C203</f>
        <v>0.393208822005106</v>
      </c>
      <c r="H203" s="7" t="n">
        <v>0</v>
      </c>
      <c r="I203" s="10" t="n">
        <v>0.0303</v>
      </c>
      <c r="J203" s="7" t="n">
        <f aca="false">IF(I203&gt;=Assumptions!$B$9,1,0)</f>
        <v>0</v>
      </c>
      <c r="K203" s="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3" customFormat="false" ht="15" hidden="false" customHeight="false" outlineLevel="0" collapsed="false">
      <c r="A3" s="6" t="s">
        <v>286</v>
      </c>
      <c r="B3" s="6" t="s">
        <v>287</v>
      </c>
      <c r="C3" s="6" t="s">
        <v>288</v>
      </c>
      <c r="D3" s="6" t="s">
        <v>289</v>
      </c>
      <c r="E3" s="6" t="s">
        <v>290</v>
      </c>
      <c r="F3" s="6" t="s">
        <v>291</v>
      </c>
      <c r="G3" s="6" t="s">
        <v>292</v>
      </c>
      <c r="H3" s="6" t="s">
        <v>13</v>
      </c>
    </row>
    <row r="4" customFormat="false" ht="15" hidden="false" customHeight="false" outlineLevel="0" collapsed="false">
      <c r="A4" s="7" t="s">
        <v>293</v>
      </c>
      <c r="B4" s="9" t="n">
        <v>28034</v>
      </c>
      <c r="C4" s="7" t="n">
        <v>20</v>
      </c>
      <c r="D4" s="9" t="n">
        <f aca="false">B4/C4</f>
        <v>1401.7</v>
      </c>
      <c r="E4" s="7" t="n">
        <v>2</v>
      </c>
      <c r="F4" s="9" t="n">
        <v>73972</v>
      </c>
      <c r="G4" s="7" t="n">
        <v>27</v>
      </c>
      <c r="H4" s="7" t="str">
        <f aca="false">IF(B4&gt;=Assumptions!$B$5,"High Spenders",IF(E4&gt;=Assumptions!$B$6,"Frequent Users",IF(C4&lt;=Assumptions!$B$7,"Low Activity","Mid-Tier")))</f>
        <v>Mid-Tier</v>
      </c>
    </row>
    <row r="5" customFormat="false" ht="15" hidden="false" customHeight="false" outlineLevel="0" collapsed="false">
      <c r="A5" s="7" t="s">
        <v>294</v>
      </c>
      <c r="B5" s="9" t="n">
        <v>14731</v>
      </c>
      <c r="C5" s="7" t="n">
        <v>41</v>
      </c>
      <c r="D5" s="9" t="n">
        <f aca="false">B5/C5</f>
        <v>359.292682926829</v>
      </c>
      <c r="E5" s="7" t="n">
        <v>12</v>
      </c>
      <c r="F5" s="9" t="n">
        <v>62187</v>
      </c>
      <c r="G5" s="7" t="n">
        <v>17</v>
      </c>
      <c r="H5" s="7" t="str">
        <f aca="false">IF(B5&gt;=Assumptions!$B$5,"High Spenders",IF(E5&gt;=Assumptions!$B$6,"Frequent Users",IF(C5&lt;=Assumptions!$B$7,"Low Activity","Mid-Tier")))</f>
        <v>Mid-Tier</v>
      </c>
    </row>
    <row r="6" customFormat="false" ht="15" hidden="false" customHeight="false" outlineLevel="0" collapsed="false">
      <c r="A6" s="7" t="s">
        <v>295</v>
      </c>
      <c r="B6" s="9" t="n">
        <v>32793</v>
      </c>
      <c r="C6" s="7" t="n">
        <v>49</v>
      </c>
      <c r="D6" s="9" t="n">
        <f aca="false">B6/C6</f>
        <v>669.244897959184</v>
      </c>
      <c r="E6" s="7" t="n">
        <v>13</v>
      </c>
      <c r="F6" s="9" t="n">
        <v>12984</v>
      </c>
      <c r="G6" s="7" t="n">
        <v>12</v>
      </c>
      <c r="H6" s="7" t="str">
        <f aca="false">IF(B6&gt;=Assumptions!$B$5,"High Spenders",IF(E6&gt;=Assumptions!$B$6,"Frequent Users",IF(C6&lt;=Assumptions!$B$7,"Low Activity","Mid-Tier")))</f>
        <v>Mid-Tier</v>
      </c>
    </row>
    <row r="7" customFormat="false" ht="15" hidden="false" customHeight="false" outlineLevel="0" collapsed="false">
      <c r="A7" s="7" t="s">
        <v>296</v>
      </c>
      <c r="B7" s="9" t="n">
        <v>27114</v>
      </c>
      <c r="C7" s="7" t="n">
        <v>20</v>
      </c>
      <c r="D7" s="9" t="n">
        <f aca="false">B7/C7</f>
        <v>1355.7</v>
      </c>
      <c r="E7" s="7" t="n">
        <v>25</v>
      </c>
      <c r="F7" s="9" t="n">
        <v>33039</v>
      </c>
      <c r="G7" s="7" t="n">
        <v>22</v>
      </c>
      <c r="H7" s="7" t="str">
        <f aca="false">IF(B7&gt;=Assumptions!$B$5,"High Spenders",IF(E7&gt;=Assumptions!$B$6,"Frequent Users",IF(C7&lt;=Assumptions!$B$7,"Low Activity","Mid-Tier")))</f>
        <v>Frequent Users</v>
      </c>
    </row>
    <row r="8" customFormat="false" ht="15" hidden="false" customHeight="false" outlineLevel="0" collapsed="false">
      <c r="A8" s="7" t="s">
        <v>297</v>
      </c>
      <c r="B8" s="9" t="n">
        <v>36758</v>
      </c>
      <c r="C8" s="7" t="n">
        <v>54</v>
      </c>
      <c r="D8" s="9" t="n">
        <f aca="false">B8/C8</f>
        <v>680.703703703704</v>
      </c>
      <c r="E8" s="7" t="n">
        <v>21</v>
      </c>
      <c r="F8" s="9" t="n">
        <v>85431</v>
      </c>
      <c r="G8" s="7" t="n">
        <v>17</v>
      </c>
      <c r="H8" s="7" t="str">
        <f aca="false">IF(B8&gt;=Assumptions!$B$5,"High Spenders",IF(E8&gt;=Assumptions!$B$6,"Frequent Users",IF(C8&lt;=Assumptions!$B$7,"Low Activity","Mid-Tier")))</f>
        <v>High Spenders</v>
      </c>
    </row>
    <row r="9" customFormat="false" ht="15" hidden="false" customHeight="false" outlineLevel="0" collapsed="false">
      <c r="A9" s="7" t="s">
        <v>298</v>
      </c>
      <c r="B9" s="9" t="n">
        <v>28753</v>
      </c>
      <c r="C9" s="7" t="n">
        <v>22</v>
      </c>
      <c r="D9" s="9" t="n">
        <f aca="false">B9/C9</f>
        <v>1306.95454545455</v>
      </c>
      <c r="E9" s="7" t="n">
        <v>7</v>
      </c>
      <c r="F9" s="9" t="n">
        <v>83691</v>
      </c>
      <c r="G9" s="7" t="n">
        <v>10</v>
      </c>
      <c r="H9" s="7" t="str">
        <f aca="false">IF(B9&gt;=Assumptions!$B$5,"High Spenders",IF(E9&gt;=Assumptions!$B$6,"Frequent Users",IF(C9&lt;=Assumptions!$B$7,"Low Activity","Mid-Tier")))</f>
        <v>Mid-Tier</v>
      </c>
    </row>
    <row r="10" customFormat="false" ht="15" hidden="false" customHeight="false" outlineLevel="0" collapsed="false">
      <c r="A10" s="7" t="s">
        <v>299</v>
      </c>
      <c r="B10" s="9" t="n">
        <v>42578</v>
      </c>
      <c r="C10" s="7" t="n">
        <v>28</v>
      </c>
      <c r="D10" s="9" t="n">
        <f aca="false">B10/C10</f>
        <v>1520.64285714286</v>
      </c>
      <c r="E10" s="7" t="n">
        <v>10</v>
      </c>
      <c r="F10" s="9" t="n">
        <v>58606</v>
      </c>
      <c r="G10" s="7" t="n">
        <v>1</v>
      </c>
      <c r="H10" s="7" t="str">
        <f aca="false">IF(B10&gt;=Assumptions!$B$5,"High Spenders",IF(E10&gt;=Assumptions!$B$6,"Frequent Users",IF(C10&lt;=Assumptions!$B$7,"Low Activity","Mid-Tier")))</f>
        <v>High Spenders</v>
      </c>
    </row>
    <row r="11" customFormat="false" ht="15" hidden="false" customHeight="false" outlineLevel="0" collapsed="false">
      <c r="A11" s="7" t="s">
        <v>300</v>
      </c>
      <c r="B11" s="9" t="n">
        <v>41252</v>
      </c>
      <c r="C11" s="7" t="n">
        <v>40</v>
      </c>
      <c r="D11" s="9" t="n">
        <f aca="false">B11/C11</f>
        <v>1031.3</v>
      </c>
      <c r="E11" s="7" t="n">
        <v>13</v>
      </c>
      <c r="F11" s="9" t="n">
        <v>10616</v>
      </c>
      <c r="G11" s="7" t="n">
        <v>22</v>
      </c>
      <c r="H11" s="7" t="str">
        <f aca="false">IF(B11&gt;=Assumptions!$B$5,"High Spenders",IF(E11&gt;=Assumptions!$B$6,"Frequent Users",IF(C11&lt;=Assumptions!$B$7,"Low Activity","Mid-Tier")))</f>
        <v>High Spenders</v>
      </c>
    </row>
    <row r="12" customFormat="false" ht="15" hidden="false" customHeight="false" outlineLevel="0" collapsed="false">
      <c r="A12" s="7" t="s">
        <v>301</v>
      </c>
      <c r="B12" s="9" t="n">
        <v>18488</v>
      </c>
      <c r="C12" s="7" t="n">
        <v>49</v>
      </c>
      <c r="D12" s="9" t="n">
        <f aca="false">B12/C12</f>
        <v>377.30612244898</v>
      </c>
      <c r="E12" s="7" t="n">
        <v>17</v>
      </c>
      <c r="F12" s="9" t="n">
        <v>50072</v>
      </c>
      <c r="G12" s="7" t="n">
        <v>26</v>
      </c>
      <c r="H12" s="7" t="str">
        <f aca="false">IF(B12&gt;=Assumptions!$B$5,"High Spenders",IF(E12&gt;=Assumptions!$B$6,"Frequent Users",IF(C12&lt;=Assumptions!$B$7,"Low Activity","Mid-Tier")))</f>
        <v>Mid-Tier</v>
      </c>
    </row>
    <row r="13" customFormat="false" ht="15" hidden="false" customHeight="false" outlineLevel="0" collapsed="false">
      <c r="A13" s="7" t="s">
        <v>302</v>
      </c>
      <c r="B13" s="9" t="n">
        <v>31537</v>
      </c>
      <c r="C13" s="7" t="n">
        <v>7</v>
      </c>
      <c r="D13" s="9" t="n">
        <f aca="false">B13/C13</f>
        <v>4505.28571428572</v>
      </c>
      <c r="E13" s="7" t="n">
        <v>26</v>
      </c>
      <c r="F13" s="9" t="n">
        <v>24574</v>
      </c>
      <c r="G13" s="7" t="n">
        <v>18</v>
      </c>
      <c r="H13" s="7" t="str">
        <f aca="false">IF(B13&gt;=Assumptions!$B$5,"High Spenders",IF(E13&gt;=Assumptions!$B$6,"Frequent Users",IF(C13&lt;=Assumptions!$B$7,"Low Activity","Mid-Tier")))</f>
        <v>Frequent Users</v>
      </c>
    </row>
    <row r="14" customFormat="false" ht="15" hidden="false" customHeight="false" outlineLevel="0" collapsed="false">
      <c r="A14" s="7" t="s">
        <v>303</v>
      </c>
      <c r="B14" s="9" t="n">
        <v>12719</v>
      </c>
      <c r="C14" s="7" t="n">
        <v>1</v>
      </c>
      <c r="D14" s="9" t="n">
        <f aca="false">B14/C14</f>
        <v>12719</v>
      </c>
      <c r="E14" s="7" t="n">
        <v>21</v>
      </c>
      <c r="F14" s="9" t="n">
        <v>3430</v>
      </c>
      <c r="G14" s="7" t="n">
        <v>14</v>
      </c>
      <c r="H14" s="7" t="str">
        <f aca="false">IF(B14&gt;=Assumptions!$B$5,"High Spenders",IF(E14&gt;=Assumptions!$B$6,"Frequent Users",IF(C14&lt;=Assumptions!$B$7,"Low Activity","Mid-Tier")))</f>
        <v>Low Activity</v>
      </c>
    </row>
    <row r="15" customFormat="false" ht="15" hidden="false" customHeight="false" outlineLevel="0" collapsed="false">
      <c r="A15" s="7" t="s">
        <v>304</v>
      </c>
      <c r="B15" s="9" t="n">
        <v>735</v>
      </c>
      <c r="C15" s="7" t="n">
        <v>32</v>
      </c>
      <c r="D15" s="9" t="n">
        <f aca="false">B15/C15</f>
        <v>22.96875</v>
      </c>
      <c r="E15" s="7" t="n">
        <v>28</v>
      </c>
      <c r="F15" s="9" t="n">
        <v>12676</v>
      </c>
      <c r="G15" s="7" t="n">
        <v>29</v>
      </c>
      <c r="H15" s="7" t="str">
        <f aca="false">IF(B15&gt;=Assumptions!$B$5,"High Spenders",IF(E15&gt;=Assumptions!$B$6,"Frequent Users",IF(C15&lt;=Assumptions!$B$7,"Low Activity","Mid-Tier")))</f>
        <v>Frequent Users</v>
      </c>
    </row>
    <row r="16" customFormat="false" ht="15" hidden="false" customHeight="false" outlineLevel="0" collapsed="false">
      <c r="A16" s="7" t="s">
        <v>305</v>
      </c>
      <c r="B16" s="9" t="n">
        <v>43429</v>
      </c>
      <c r="C16" s="7" t="n">
        <v>13</v>
      </c>
      <c r="D16" s="9" t="n">
        <f aca="false">B16/C16</f>
        <v>3340.69230769231</v>
      </c>
      <c r="E16" s="7" t="n">
        <v>26</v>
      </c>
      <c r="F16" s="9" t="n">
        <v>10816</v>
      </c>
      <c r="G16" s="7" t="n">
        <v>12</v>
      </c>
      <c r="H16" s="7" t="str">
        <f aca="false">IF(B16&gt;=Assumptions!$B$5,"High Spenders",IF(E16&gt;=Assumptions!$B$6,"Frequent Users",IF(C16&lt;=Assumptions!$B$7,"Low Activity","Mid-Tier")))</f>
        <v>High Spenders</v>
      </c>
    </row>
    <row r="17" customFormat="false" ht="15" hidden="false" customHeight="false" outlineLevel="0" collapsed="false">
      <c r="A17" s="7" t="s">
        <v>306</v>
      </c>
      <c r="B17" s="9" t="n">
        <v>2408</v>
      </c>
      <c r="C17" s="7" t="n">
        <v>30</v>
      </c>
      <c r="D17" s="9" t="n">
        <f aca="false">B17/C17</f>
        <v>80.2666666666667</v>
      </c>
      <c r="E17" s="7" t="n">
        <v>14</v>
      </c>
      <c r="F17" s="9" t="n">
        <v>32733</v>
      </c>
      <c r="G17" s="7" t="n">
        <v>35</v>
      </c>
      <c r="H17" s="7" t="str">
        <f aca="false">IF(B17&gt;=Assumptions!$B$5,"High Spenders",IF(E17&gt;=Assumptions!$B$6,"Frequent Users",IF(C17&lt;=Assumptions!$B$7,"Low Activity","Mid-Tier")))</f>
        <v>Mid-Tier</v>
      </c>
    </row>
    <row r="18" customFormat="false" ht="15" hidden="false" customHeight="false" outlineLevel="0" collapsed="false">
      <c r="A18" s="7" t="s">
        <v>307</v>
      </c>
      <c r="B18" s="9" t="n">
        <v>9067</v>
      </c>
      <c r="C18" s="7" t="n">
        <v>23</v>
      </c>
      <c r="D18" s="9" t="n">
        <f aca="false">B18/C18</f>
        <v>394.217391304348</v>
      </c>
      <c r="E18" s="7" t="n">
        <v>2</v>
      </c>
      <c r="F18" s="9" t="n">
        <v>85680</v>
      </c>
      <c r="G18" s="7" t="n">
        <v>12</v>
      </c>
      <c r="H18" s="7" t="str">
        <f aca="false">IF(B18&gt;=Assumptions!$B$5,"High Spenders",IF(E18&gt;=Assumptions!$B$6,"Frequent Users",IF(C18&lt;=Assumptions!$B$7,"Low Activity","Mid-Tier")))</f>
        <v>Mid-Tier</v>
      </c>
    </row>
    <row r="19" customFormat="false" ht="15" hidden="false" customHeight="false" outlineLevel="0" collapsed="false">
      <c r="A19" s="7" t="s">
        <v>308</v>
      </c>
      <c r="B19" s="9" t="n">
        <v>36798</v>
      </c>
      <c r="C19" s="7" t="n">
        <v>51</v>
      </c>
      <c r="D19" s="9" t="n">
        <f aca="false">B19/C19</f>
        <v>721.529411764706</v>
      </c>
      <c r="E19" s="7" t="n">
        <v>28</v>
      </c>
      <c r="F19" s="9" t="n">
        <v>2050</v>
      </c>
      <c r="G19" s="7" t="n">
        <v>7</v>
      </c>
      <c r="H19" s="7" t="str">
        <f aca="false">IF(B19&gt;=Assumptions!$B$5,"High Spenders",IF(E19&gt;=Assumptions!$B$6,"Frequent Users",IF(C19&lt;=Assumptions!$B$7,"Low Activity","Mid-Tier")))</f>
        <v>High Spenders</v>
      </c>
    </row>
    <row r="20" customFormat="false" ht="15" hidden="false" customHeight="false" outlineLevel="0" collapsed="false">
      <c r="A20" s="7" t="s">
        <v>309</v>
      </c>
      <c r="B20" s="9" t="n">
        <v>5756</v>
      </c>
      <c r="C20" s="7" t="n">
        <v>59</v>
      </c>
      <c r="D20" s="9" t="n">
        <f aca="false">B20/C20</f>
        <v>97.5593220338983</v>
      </c>
      <c r="E20" s="7" t="n">
        <v>22</v>
      </c>
      <c r="F20" s="9" t="n">
        <v>33933</v>
      </c>
      <c r="G20" s="7" t="n">
        <v>29</v>
      </c>
      <c r="H20" s="7" t="str">
        <f aca="false">IF(B20&gt;=Assumptions!$B$5,"High Spenders",IF(E20&gt;=Assumptions!$B$6,"Frequent Users",IF(C20&lt;=Assumptions!$B$7,"Low Activity","Mid-Tier")))</f>
        <v>Mid-Tier</v>
      </c>
    </row>
    <row r="21" customFormat="false" ht="15" hidden="false" customHeight="false" outlineLevel="0" collapsed="false">
      <c r="A21" s="7" t="s">
        <v>310</v>
      </c>
      <c r="B21" s="9" t="n">
        <v>19519</v>
      </c>
      <c r="C21" s="7" t="n">
        <v>56</v>
      </c>
      <c r="D21" s="9" t="n">
        <f aca="false">B21/C21</f>
        <v>348.553571428571</v>
      </c>
      <c r="E21" s="7" t="n">
        <v>11</v>
      </c>
      <c r="F21" s="9" t="n">
        <v>24951</v>
      </c>
      <c r="G21" s="7" t="n">
        <v>11</v>
      </c>
      <c r="H21" s="7" t="str">
        <f aca="false">IF(B21&gt;=Assumptions!$B$5,"High Spenders",IF(E21&gt;=Assumptions!$B$6,"Frequent Users",IF(C21&lt;=Assumptions!$B$7,"Low Activity","Mid-Tier")))</f>
        <v>Mid-Tier</v>
      </c>
    </row>
    <row r="22" customFormat="false" ht="15" hidden="false" customHeight="false" outlineLevel="0" collapsed="false">
      <c r="A22" s="7" t="s">
        <v>311</v>
      </c>
      <c r="B22" s="9" t="n">
        <v>8662</v>
      </c>
      <c r="C22" s="7" t="n">
        <v>19</v>
      </c>
      <c r="D22" s="9" t="n">
        <f aca="false">B22/C22</f>
        <v>455.894736842105</v>
      </c>
      <c r="E22" s="7" t="n">
        <v>1</v>
      </c>
      <c r="F22" s="9" t="n">
        <v>32413</v>
      </c>
      <c r="G22" s="7" t="n">
        <v>33</v>
      </c>
      <c r="H22" s="7" t="str">
        <f aca="false">IF(B22&gt;=Assumptions!$B$5,"High Spenders",IF(E22&gt;=Assumptions!$B$6,"Frequent Users",IF(C22&lt;=Assumptions!$B$7,"Low Activity","Mid-Tier")))</f>
        <v>Mid-Tier</v>
      </c>
    </row>
    <row r="23" customFormat="false" ht="15" hidden="false" customHeight="false" outlineLevel="0" collapsed="false">
      <c r="A23" s="7" t="s">
        <v>312</v>
      </c>
      <c r="B23" s="9" t="n">
        <v>5915</v>
      </c>
      <c r="C23" s="7" t="n">
        <v>32</v>
      </c>
      <c r="D23" s="9" t="n">
        <f aca="false">B23/C23</f>
        <v>184.84375</v>
      </c>
      <c r="E23" s="7" t="n">
        <v>19</v>
      </c>
      <c r="F23" s="9" t="n">
        <v>34801</v>
      </c>
      <c r="G23" s="7" t="n">
        <v>6</v>
      </c>
      <c r="H23" s="7" t="str">
        <f aca="false">IF(B23&gt;=Assumptions!$B$5,"High Spenders",IF(E23&gt;=Assumptions!$B$6,"Frequent Users",IF(C23&lt;=Assumptions!$B$7,"Low Activity","Mid-Tier")))</f>
        <v>Mid-Tier</v>
      </c>
    </row>
    <row r="24" customFormat="false" ht="15" hidden="false" customHeight="false" outlineLevel="0" collapsed="false">
      <c r="A24" s="7" t="s">
        <v>313</v>
      </c>
      <c r="B24" s="9" t="n">
        <v>36659</v>
      </c>
      <c r="C24" s="7" t="n">
        <v>30</v>
      </c>
      <c r="D24" s="9" t="n">
        <f aca="false">B24/C24</f>
        <v>1221.96666666667</v>
      </c>
      <c r="E24" s="7" t="n">
        <v>21</v>
      </c>
      <c r="F24" s="9" t="n">
        <v>55619</v>
      </c>
      <c r="G24" s="7" t="n">
        <v>15</v>
      </c>
      <c r="H24" s="7" t="str">
        <f aca="false">IF(B24&gt;=Assumptions!$B$5,"High Spenders",IF(E24&gt;=Assumptions!$B$6,"Frequent Users",IF(C24&lt;=Assumptions!$B$7,"Low Activity","Mid-Tier")))</f>
        <v>High Spenders</v>
      </c>
    </row>
    <row r="25" customFormat="false" ht="15" hidden="false" customHeight="false" outlineLevel="0" collapsed="false">
      <c r="A25" s="7" t="s">
        <v>314</v>
      </c>
      <c r="B25" s="9" t="n">
        <v>44425</v>
      </c>
      <c r="C25" s="7" t="n">
        <v>29</v>
      </c>
      <c r="D25" s="9" t="n">
        <f aca="false">B25/C25</f>
        <v>1531.89655172414</v>
      </c>
      <c r="E25" s="7" t="n">
        <v>4</v>
      </c>
      <c r="F25" s="9" t="n">
        <v>32913</v>
      </c>
      <c r="G25" s="7" t="n">
        <v>32</v>
      </c>
      <c r="H25" s="7" t="str">
        <f aca="false">IF(B25&gt;=Assumptions!$B$5,"High Spenders",IF(E25&gt;=Assumptions!$B$6,"Frequent Users",IF(C25&lt;=Assumptions!$B$7,"Low Activity","Mid-Tier")))</f>
        <v>High Spenders</v>
      </c>
    </row>
    <row r="26" customFormat="false" ht="15" hidden="false" customHeight="false" outlineLevel="0" collapsed="false">
      <c r="A26" s="7" t="s">
        <v>315</v>
      </c>
      <c r="B26" s="9" t="n">
        <v>6451</v>
      </c>
      <c r="C26" s="7" t="n">
        <v>49</v>
      </c>
      <c r="D26" s="9" t="n">
        <f aca="false">B26/C26</f>
        <v>131.65306122449</v>
      </c>
      <c r="E26" s="7" t="n">
        <v>19</v>
      </c>
      <c r="F26" s="9" t="n">
        <v>40600</v>
      </c>
      <c r="G26" s="7" t="n">
        <v>11</v>
      </c>
      <c r="H26" s="7" t="str">
        <f aca="false">IF(B26&gt;=Assumptions!$B$5,"High Spenders",IF(E26&gt;=Assumptions!$B$6,"Frequent Users",IF(C26&lt;=Assumptions!$B$7,"Low Activity","Mid-Tier")))</f>
        <v>Mid-Tier</v>
      </c>
    </row>
    <row r="27" customFormat="false" ht="15" hidden="false" customHeight="false" outlineLevel="0" collapsed="false">
      <c r="A27" s="7" t="s">
        <v>316</v>
      </c>
      <c r="B27" s="9" t="n">
        <v>22352</v>
      </c>
      <c r="C27" s="7" t="n">
        <v>45</v>
      </c>
      <c r="D27" s="9" t="n">
        <f aca="false">B27/C27</f>
        <v>496.711111111111</v>
      </c>
      <c r="E27" s="7" t="n">
        <v>26</v>
      </c>
      <c r="F27" s="9" t="n">
        <v>57775</v>
      </c>
      <c r="G27" s="7" t="n">
        <v>23</v>
      </c>
      <c r="H27" s="7" t="str">
        <f aca="false">IF(B27&gt;=Assumptions!$B$5,"High Spenders",IF(E27&gt;=Assumptions!$B$6,"Frequent Users",IF(C27&lt;=Assumptions!$B$7,"Low Activity","Mid-Tier")))</f>
        <v>Frequent Users</v>
      </c>
    </row>
    <row r="28" customFormat="false" ht="15" hidden="false" customHeight="false" outlineLevel="0" collapsed="false">
      <c r="A28" s="7" t="s">
        <v>317</v>
      </c>
      <c r="B28" s="9" t="n">
        <v>8507</v>
      </c>
      <c r="C28" s="7" t="n">
        <v>29</v>
      </c>
      <c r="D28" s="9" t="n">
        <f aca="false">B28/C28</f>
        <v>293.344827586207</v>
      </c>
      <c r="E28" s="7" t="n">
        <v>29</v>
      </c>
      <c r="F28" s="9" t="n">
        <v>90816</v>
      </c>
      <c r="G28" s="7" t="n">
        <v>26</v>
      </c>
      <c r="H28" s="7" t="str">
        <f aca="false">IF(B28&gt;=Assumptions!$B$5,"High Spenders",IF(E28&gt;=Assumptions!$B$6,"Frequent Users",IF(C28&lt;=Assumptions!$B$7,"Low Activity","Mid-Tier")))</f>
        <v>Frequent Users</v>
      </c>
    </row>
    <row r="29" customFormat="false" ht="15" hidden="false" customHeight="false" outlineLevel="0" collapsed="false">
      <c r="A29" s="7" t="s">
        <v>318</v>
      </c>
      <c r="B29" s="9" t="n">
        <v>42332</v>
      </c>
      <c r="C29" s="7" t="n">
        <v>30</v>
      </c>
      <c r="D29" s="9" t="n">
        <f aca="false">B29/C29</f>
        <v>1411.06666666667</v>
      </c>
      <c r="E29" s="7" t="n">
        <v>21</v>
      </c>
      <c r="F29" s="9" t="n">
        <v>90093</v>
      </c>
      <c r="G29" s="7" t="n">
        <v>34</v>
      </c>
      <c r="H29" s="7" t="str">
        <f aca="false">IF(B29&gt;=Assumptions!$B$5,"High Spenders",IF(E29&gt;=Assumptions!$B$6,"Frequent Users",IF(C29&lt;=Assumptions!$B$7,"Low Activity","Mid-Tier")))</f>
        <v>High Spenders</v>
      </c>
    </row>
    <row r="30" customFormat="false" ht="15" hidden="false" customHeight="false" outlineLevel="0" collapsed="false">
      <c r="A30" s="7" t="s">
        <v>319</v>
      </c>
      <c r="B30" s="9" t="n">
        <v>31023</v>
      </c>
      <c r="C30" s="7" t="n">
        <v>16</v>
      </c>
      <c r="D30" s="9" t="n">
        <f aca="false">B30/C30</f>
        <v>1938.9375</v>
      </c>
      <c r="E30" s="7" t="n">
        <v>11</v>
      </c>
      <c r="F30" s="9" t="n">
        <v>35400</v>
      </c>
      <c r="G30" s="7" t="n">
        <v>34</v>
      </c>
      <c r="H30" s="7" t="str">
        <f aca="false">IF(B30&gt;=Assumptions!$B$5,"High Spenders",IF(E30&gt;=Assumptions!$B$6,"Frequent Users",IF(C30&lt;=Assumptions!$B$7,"Low Activity","Mid-Tier")))</f>
        <v>Mid-Tier</v>
      </c>
    </row>
    <row r="31" customFormat="false" ht="15" hidden="false" customHeight="false" outlineLevel="0" collapsed="false">
      <c r="A31" s="7" t="s">
        <v>320</v>
      </c>
      <c r="B31" s="9" t="n">
        <v>23825</v>
      </c>
      <c r="C31" s="7" t="n">
        <v>40</v>
      </c>
      <c r="D31" s="9" t="n">
        <f aca="false">B31/C31</f>
        <v>595.625</v>
      </c>
      <c r="E31" s="7" t="n">
        <v>8</v>
      </c>
      <c r="F31" s="9" t="n">
        <v>4494</v>
      </c>
      <c r="G31" s="7" t="n">
        <v>29</v>
      </c>
      <c r="H31" s="7" t="str">
        <f aca="false">IF(B31&gt;=Assumptions!$B$5,"High Spenders",IF(E31&gt;=Assumptions!$B$6,"Frequent Users",IF(C31&lt;=Assumptions!$B$7,"Low Activity","Mid-Tier")))</f>
        <v>Mid-Tier</v>
      </c>
    </row>
    <row r="32" customFormat="false" ht="15" hidden="false" customHeight="false" outlineLevel="0" collapsed="false">
      <c r="A32" s="7" t="s">
        <v>321</v>
      </c>
      <c r="B32" s="9" t="n">
        <v>21704</v>
      </c>
      <c r="C32" s="7" t="n">
        <v>19</v>
      </c>
      <c r="D32" s="9" t="n">
        <f aca="false">B32/C32</f>
        <v>1142.31578947368</v>
      </c>
      <c r="E32" s="7" t="n">
        <v>11</v>
      </c>
      <c r="F32" s="9" t="n">
        <v>80688</v>
      </c>
      <c r="G32" s="7" t="n">
        <v>4</v>
      </c>
      <c r="H32" s="7" t="str">
        <f aca="false">IF(B32&gt;=Assumptions!$B$5,"High Spenders",IF(E32&gt;=Assumptions!$B$6,"Frequent Users",IF(C32&lt;=Assumptions!$B$7,"Low Activity","Mid-Tier")))</f>
        <v>Mid-Tier</v>
      </c>
    </row>
    <row r="33" customFormat="false" ht="15" hidden="false" customHeight="false" outlineLevel="0" collapsed="false">
      <c r="A33" s="7" t="s">
        <v>322</v>
      </c>
      <c r="B33" s="9" t="n">
        <v>16024</v>
      </c>
      <c r="C33" s="7" t="n">
        <v>18</v>
      </c>
      <c r="D33" s="9" t="n">
        <f aca="false">B33/C33</f>
        <v>890.222222222222</v>
      </c>
      <c r="E33" s="7" t="n">
        <v>4</v>
      </c>
      <c r="F33" s="9" t="n">
        <v>89431</v>
      </c>
      <c r="G33" s="7" t="n">
        <v>17</v>
      </c>
      <c r="H33" s="7" t="str">
        <f aca="false">IF(B33&gt;=Assumptions!$B$5,"High Spenders",IF(E33&gt;=Assumptions!$B$6,"Frequent Users",IF(C33&lt;=Assumptions!$B$7,"Low Activity","Mid-Tier")))</f>
        <v>Mid-Tier</v>
      </c>
    </row>
    <row r="34" customFormat="false" ht="15" hidden="false" customHeight="false" outlineLevel="0" collapsed="false">
      <c r="A34" s="7" t="s">
        <v>323</v>
      </c>
      <c r="B34" s="9" t="n">
        <v>19782</v>
      </c>
      <c r="C34" s="7" t="n">
        <v>1</v>
      </c>
      <c r="D34" s="9" t="n">
        <f aca="false">B34/C34</f>
        <v>19782</v>
      </c>
      <c r="E34" s="7" t="n">
        <v>17</v>
      </c>
      <c r="F34" s="9" t="n">
        <v>74691</v>
      </c>
      <c r="G34" s="7" t="n">
        <v>35</v>
      </c>
      <c r="H34" s="7" t="str">
        <f aca="false">IF(B34&gt;=Assumptions!$B$5,"High Spenders",IF(E34&gt;=Assumptions!$B$6,"Frequent Users",IF(C34&lt;=Assumptions!$B$7,"Low Activity","Mid-Tier")))</f>
        <v>Low Activity</v>
      </c>
    </row>
    <row r="35" customFormat="false" ht="15" hidden="false" customHeight="false" outlineLevel="0" collapsed="false">
      <c r="A35" s="7" t="s">
        <v>324</v>
      </c>
      <c r="B35" s="9" t="n">
        <v>24430</v>
      </c>
      <c r="C35" s="7" t="n">
        <v>14</v>
      </c>
      <c r="D35" s="9" t="n">
        <f aca="false">B35/C35</f>
        <v>1745</v>
      </c>
      <c r="E35" s="7" t="n">
        <v>27</v>
      </c>
      <c r="F35" s="9" t="n">
        <v>97419</v>
      </c>
      <c r="G35" s="7" t="n">
        <v>13</v>
      </c>
      <c r="H35" s="7" t="str">
        <f aca="false">IF(B35&gt;=Assumptions!$B$5,"High Spenders",IF(E35&gt;=Assumptions!$B$6,"Frequent Users",IF(C35&lt;=Assumptions!$B$7,"Low Activity","Mid-Tier")))</f>
        <v>Frequent Users</v>
      </c>
    </row>
    <row r="36" customFormat="false" ht="15" hidden="false" customHeight="false" outlineLevel="0" collapsed="false">
      <c r="A36" s="7" t="s">
        <v>325</v>
      </c>
      <c r="B36" s="9" t="n">
        <v>577</v>
      </c>
      <c r="C36" s="7" t="n">
        <v>51</v>
      </c>
      <c r="D36" s="9" t="n">
        <f aca="false">B36/C36</f>
        <v>11.3137254901961</v>
      </c>
      <c r="E36" s="7" t="n">
        <v>7</v>
      </c>
      <c r="F36" s="9" t="n">
        <v>43001</v>
      </c>
      <c r="G36" s="7" t="n">
        <v>15</v>
      </c>
      <c r="H36" s="7" t="str">
        <f aca="false">IF(B36&gt;=Assumptions!$B$5,"High Spenders",IF(E36&gt;=Assumptions!$B$6,"Frequent Users",IF(C36&lt;=Assumptions!$B$7,"Low Activity","Mid-Tier")))</f>
        <v>Mid-Tier</v>
      </c>
    </row>
    <row r="37" customFormat="false" ht="15" hidden="false" customHeight="false" outlineLevel="0" collapsed="false">
      <c r="A37" s="7" t="s">
        <v>326</v>
      </c>
      <c r="B37" s="9" t="n">
        <v>40845</v>
      </c>
      <c r="C37" s="7" t="n">
        <v>47</v>
      </c>
      <c r="D37" s="9" t="n">
        <f aca="false">B37/C37</f>
        <v>869.042553191489</v>
      </c>
      <c r="E37" s="7" t="n">
        <v>8</v>
      </c>
      <c r="F37" s="9" t="n">
        <v>67364</v>
      </c>
      <c r="G37" s="7" t="n">
        <v>29</v>
      </c>
      <c r="H37" s="7" t="str">
        <f aca="false">IF(B37&gt;=Assumptions!$B$5,"High Spenders",IF(E37&gt;=Assumptions!$B$6,"Frequent Users",IF(C37&lt;=Assumptions!$B$7,"Low Activity","Mid-Tier")))</f>
        <v>High Spenders</v>
      </c>
    </row>
    <row r="38" customFormat="false" ht="15" hidden="false" customHeight="false" outlineLevel="0" collapsed="false">
      <c r="A38" s="7" t="s">
        <v>327</v>
      </c>
      <c r="B38" s="9" t="n">
        <v>21111</v>
      </c>
      <c r="C38" s="7" t="n">
        <v>50</v>
      </c>
      <c r="D38" s="9" t="n">
        <f aca="false">B38/C38</f>
        <v>422.22</v>
      </c>
      <c r="E38" s="7" t="n">
        <v>3</v>
      </c>
      <c r="F38" s="9" t="n">
        <v>45028</v>
      </c>
      <c r="G38" s="7" t="n">
        <v>29</v>
      </c>
      <c r="H38" s="7" t="str">
        <f aca="false">IF(B38&gt;=Assumptions!$B$5,"High Spenders",IF(E38&gt;=Assumptions!$B$6,"Frequent Users",IF(C38&lt;=Assumptions!$B$7,"Low Activity","Mid-Tier")))</f>
        <v>Mid-Tier</v>
      </c>
    </row>
    <row r="39" customFormat="false" ht="15" hidden="false" customHeight="false" outlineLevel="0" collapsed="false">
      <c r="A39" s="7" t="s">
        <v>328</v>
      </c>
      <c r="B39" s="9" t="n">
        <v>17484</v>
      </c>
      <c r="C39" s="7" t="n">
        <v>2</v>
      </c>
      <c r="D39" s="9" t="n">
        <f aca="false">B39/C39</f>
        <v>8742</v>
      </c>
      <c r="E39" s="7" t="n">
        <v>22</v>
      </c>
      <c r="F39" s="9" t="n">
        <v>97659</v>
      </c>
      <c r="G39" s="7" t="n">
        <v>11</v>
      </c>
      <c r="H39" s="7" t="str">
        <f aca="false">IF(B39&gt;=Assumptions!$B$5,"High Spenders",IF(E39&gt;=Assumptions!$B$6,"Frequent Users",IF(C39&lt;=Assumptions!$B$7,"Low Activity","Mid-Tier")))</f>
        <v>Low Activity</v>
      </c>
    </row>
    <row r="40" customFormat="false" ht="15" hidden="false" customHeight="false" outlineLevel="0" collapsed="false">
      <c r="A40" s="7" t="s">
        <v>329</v>
      </c>
      <c r="B40" s="9" t="n">
        <v>14560</v>
      </c>
      <c r="C40" s="7" t="n">
        <v>54</v>
      </c>
      <c r="D40" s="9" t="n">
        <f aca="false">B40/C40</f>
        <v>269.62962962963</v>
      </c>
      <c r="E40" s="7" t="n">
        <v>2</v>
      </c>
      <c r="F40" s="9" t="n">
        <v>37573</v>
      </c>
      <c r="G40" s="7" t="n">
        <v>32</v>
      </c>
      <c r="H40" s="7" t="str">
        <f aca="false">IF(B40&gt;=Assumptions!$B$5,"High Spenders",IF(E40&gt;=Assumptions!$B$6,"Frequent Users",IF(C40&lt;=Assumptions!$B$7,"Low Activity","Mid-Tier")))</f>
        <v>Mid-Tier</v>
      </c>
    </row>
    <row r="41" customFormat="false" ht="15" hidden="false" customHeight="false" outlineLevel="0" collapsed="false">
      <c r="A41" s="7" t="s">
        <v>330</v>
      </c>
      <c r="B41" s="9" t="n">
        <v>17949</v>
      </c>
      <c r="C41" s="7" t="n">
        <v>28</v>
      </c>
      <c r="D41" s="9" t="n">
        <f aca="false">B41/C41</f>
        <v>641.035714285714</v>
      </c>
      <c r="E41" s="7" t="n">
        <v>23</v>
      </c>
      <c r="F41" s="9" t="n">
        <v>806</v>
      </c>
      <c r="G41" s="7" t="n">
        <v>2</v>
      </c>
      <c r="H41" s="7" t="str">
        <f aca="false">IF(B41&gt;=Assumptions!$B$5,"High Spenders",IF(E41&gt;=Assumptions!$B$6,"Frequent Users",IF(C41&lt;=Assumptions!$B$7,"Low Activity","Mid-Tier")))</f>
        <v>Frequent Users</v>
      </c>
    </row>
    <row r="42" customFormat="false" ht="15" hidden="false" customHeight="false" outlineLevel="0" collapsed="false">
      <c r="A42" s="7" t="s">
        <v>331</v>
      </c>
      <c r="B42" s="9" t="n">
        <v>19020</v>
      </c>
      <c r="C42" s="7" t="n">
        <v>49</v>
      </c>
      <c r="D42" s="9" t="n">
        <f aca="false">B42/C42</f>
        <v>388.163265306122</v>
      </c>
      <c r="E42" s="7" t="n">
        <v>15</v>
      </c>
      <c r="F42" s="9" t="n">
        <v>56638</v>
      </c>
      <c r="G42" s="7" t="n">
        <v>14</v>
      </c>
      <c r="H42" s="7" t="str">
        <f aca="false">IF(B42&gt;=Assumptions!$B$5,"High Spenders",IF(E42&gt;=Assumptions!$B$6,"Frequent Users",IF(C42&lt;=Assumptions!$B$7,"Low Activity","Mid-Tier")))</f>
        <v>Mid-Tier</v>
      </c>
    </row>
    <row r="43" customFormat="false" ht="15" hidden="false" customHeight="false" outlineLevel="0" collapsed="false">
      <c r="A43" s="7" t="s">
        <v>332</v>
      </c>
      <c r="B43" s="9" t="n">
        <v>43803</v>
      </c>
      <c r="C43" s="7" t="n">
        <v>50</v>
      </c>
      <c r="D43" s="9" t="n">
        <f aca="false">B43/C43</f>
        <v>876.06</v>
      </c>
      <c r="E43" s="7" t="n">
        <v>24</v>
      </c>
      <c r="F43" s="9" t="n">
        <v>29757</v>
      </c>
      <c r="G43" s="7" t="n">
        <v>20</v>
      </c>
      <c r="H43" s="7" t="str">
        <f aca="false">IF(B43&gt;=Assumptions!$B$5,"High Spenders",IF(E43&gt;=Assumptions!$B$6,"Frequent Users",IF(C43&lt;=Assumptions!$B$7,"Low Activity","Mid-Tier")))</f>
        <v>High Spenders</v>
      </c>
    </row>
    <row r="44" customFormat="false" ht="15" hidden="false" customHeight="false" outlineLevel="0" collapsed="false">
      <c r="A44" s="7" t="s">
        <v>333</v>
      </c>
      <c r="B44" s="9" t="n">
        <v>10010</v>
      </c>
      <c r="C44" s="7" t="n">
        <v>30</v>
      </c>
      <c r="D44" s="9" t="n">
        <f aca="false">B44/C44</f>
        <v>333.666666666667</v>
      </c>
      <c r="E44" s="7" t="n">
        <v>22</v>
      </c>
      <c r="F44" s="9" t="n">
        <v>34636</v>
      </c>
      <c r="G44" s="7" t="n">
        <v>22</v>
      </c>
      <c r="H44" s="7" t="str">
        <f aca="false">IF(B44&gt;=Assumptions!$B$5,"High Spenders",IF(E44&gt;=Assumptions!$B$6,"Frequent Users",IF(C44&lt;=Assumptions!$B$7,"Low Activity","Mid-Tier")))</f>
        <v>Mid-Tier</v>
      </c>
    </row>
    <row r="45" customFormat="false" ht="15" hidden="false" customHeight="false" outlineLevel="0" collapsed="false">
      <c r="A45" s="7" t="s">
        <v>334</v>
      </c>
      <c r="B45" s="9" t="n">
        <v>29787</v>
      </c>
      <c r="C45" s="7" t="n">
        <v>38</v>
      </c>
      <c r="D45" s="9" t="n">
        <f aca="false">B45/C45</f>
        <v>783.868421052632</v>
      </c>
      <c r="E45" s="7" t="n">
        <v>22</v>
      </c>
      <c r="F45" s="9" t="n">
        <v>80097</v>
      </c>
      <c r="G45" s="7" t="n">
        <v>11</v>
      </c>
      <c r="H45" s="7" t="str">
        <f aca="false">IF(B45&gt;=Assumptions!$B$5,"High Spenders",IF(E45&gt;=Assumptions!$B$6,"Frequent Users",IF(C45&lt;=Assumptions!$B$7,"Low Activity","Mid-Tier")))</f>
        <v>Mid-Tier</v>
      </c>
    </row>
    <row r="46" customFormat="false" ht="15" hidden="false" customHeight="false" outlineLevel="0" collapsed="false">
      <c r="A46" s="7" t="s">
        <v>335</v>
      </c>
      <c r="B46" s="9" t="n">
        <v>28673</v>
      </c>
      <c r="C46" s="7" t="n">
        <v>51</v>
      </c>
      <c r="D46" s="9" t="n">
        <f aca="false">B46/C46</f>
        <v>562.21568627451</v>
      </c>
      <c r="E46" s="7" t="n">
        <v>5</v>
      </c>
      <c r="F46" s="9" t="n">
        <v>48280</v>
      </c>
      <c r="G46" s="7" t="n">
        <v>27</v>
      </c>
      <c r="H46" s="7" t="str">
        <f aca="false">IF(B46&gt;=Assumptions!$B$5,"High Spenders",IF(E46&gt;=Assumptions!$B$6,"Frequent Users",IF(C46&lt;=Assumptions!$B$7,"Low Activity","Mid-Tier")))</f>
        <v>Mid-Tier</v>
      </c>
    </row>
    <row r="47" customFormat="false" ht="15" hidden="false" customHeight="false" outlineLevel="0" collapsed="false">
      <c r="A47" s="7" t="s">
        <v>336</v>
      </c>
      <c r="B47" s="9" t="n">
        <v>40211</v>
      </c>
      <c r="C47" s="7" t="n">
        <v>4</v>
      </c>
      <c r="D47" s="9" t="n">
        <f aca="false">B47/C47</f>
        <v>10052.75</v>
      </c>
      <c r="E47" s="7" t="n">
        <v>24</v>
      </c>
      <c r="F47" s="9" t="n">
        <v>24262</v>
      </c>
      <c r="G47" s="7" t="n">
        <v>3</v>
      </c>
      <c r="H47" s="7" t="str">
        <f aca="false">IF(B47&gt;=Assumptions!$B$5,"High Spenders",IF(E47&gt;=Assumptions!$B$6,"Frequent Users",IF(C47&lt;=Assumptions!$B$7,"Low Activity","Mid-Tier")))</f>
        <v>High Spenders</v>
      </c>
    </row>
    <row r="48" customFormat="false" ht="15" hidden="false" customHeight="false" outlineLevel="0" collapsed="false">
      <c r="A48" s="7" t="s">
        <v>337</v>
      </c>
      <c r="B48" s="9" t="n">
        <v>12454</v>
      </c>
      <c r="C48" s="7" t="n">
        <v>1</v>
      </c>
      <c r="D48" s="9" t="n">
        <f aca="false">B48/C48</f>
        <v>12454</v>
      </c>
      <c r="E48" s="7" t="n">
        <v>1</v>
      </c>
      <c r="F48" s="9" t="n">
        <v>80435</v>
      </c>
      <c r="G48" s="7" t="n">
        <v>17</v>
      </c>
      <c r="H48" s="7" t="str">
        <f aca="false">IF(B48&gt;=Assumptions!$B$5,"High Spenders",IF(E48&gt;=Assumptions!$B$6,"Frequent Users",IF(C48&lt;=Assumptions!$B$7,"Low Activity","Mid-Tier")))</f>
        <v>Low Activity</v>
      </c>
    </row>
    <row r="49" customFormat="false" ht="15" hidden="false" customHeight="false" outlineLevel="0" collapsed="false">
      <c r="A49" s="7" t="s">
        <v>338</v>
      </c>
      <c r="B49" s="9" t="n">
        <v>8304</v>
      </c>
      <c r="C49" s="7" t="n">
        <v>8</v>
      </c>
      <c r="D49" s="9" t="n">
        <f aca="false">B49/C49</f>
        <v>1038</v>
      </c>
      <c r="E49" s="7" t="n">
        <v>26</v>
      </c>
      <c r="F49" s="9" t="n">
        <v>62211</v>
      </c>
      <c r="G49" s="7" t="n">
        <v>28</v>
      </c>
      <c r="H49" s="7" t="str">
        <f aca="false">IF(B49&gt;=Assumptions!$B$5,"High Spenders",IF(E49&gt;=Assumptions!$B$6,"Frequent Users",IF(C49&lt;=Assumptions!$B$7,"Low Activity","Mid-Tier")))</f>
        <v>Frequent Users</v>
      </c>
    </row>
    <row r="50" customFormat="false" ht="15" hidden="false" customHeight="false" outlineLevel="0" collapsed="false">
      <c r="A50" s="7" t="s">
        <v>339</v>
      </c>
      <c r="B50" s="9" t="n">
        <v>7065</v>
      </c>
      <c r="C50" s="7" t="n">
        <v>29</v>
      </c>
      <c r="D50" s="9" t="n">
        <f aca="false">B50/C50</f>
        <v>243.620689655172</v>
      </c>
      <c r="E50" s="7" t="n">
        <v>4</v>
      </c>
      <c r="F50" s="9" t="n">
        <v>54842</v>
      </c>
      <c r="G50" s="7" t="n">
        <v>29</v>
      </c>
      <c r="H50" s="7" t="str">
        <f aca="false">IF(B50&gt;=Assumptions!$B$5,"High Spenders",IF(E50&gt;=Assumptions!$B$6,"Frequent Users",IF(C50&lt;=Assumptions!$B$7,"Low Activity","Mid-Tier")))</f>
        <v>Mid-Tier</v>
      </c>
    </row>
    <row r="51" customFormat="false" ht="15" hidden="false" customHeight="false" outlineLevel="0" collapsed="false">
      <c r="A51" s="7" t="s">
        <v>340</v>
      </c>
      <c r="B51" s="9" t="n">
        <v>6484</v>
      </c>
      <c r="C51" s="7" t="n">
        <v>55</v>
      </c>
      <c r="D51" s="9" t="n">
        <f aca="false">B51/C51</f>
        <v>117.890909090909</v>
      </c>
      <c r="E51" s="7" t="n">
        <v>15</v>
      </c>
      <c r="F51" s="9" t="n">
        <v>56979</v>
      </c>
      <c r="G51" s="7" t="n">
        <v>21</v>
      </c>
      <c r="H51" s="7" t="str">
        <f aca="false">IF(B51&gt;=Assumptions!$B$5,"High Spenders",IF(E51&gt;=Assumptions!$B$6,"Frequent Users",IF(C51&lt;=Assumptions!$B$7,"Low Activity","Mid-Tier")))</f>
        <v>Mid-Tier</v>
      </c>
    </row>
    <row r="52" customFormat="false" ht="15" hidden="false" customHeight="false" outlineLevel="0" collapsed="false">
      <c r="A52" s="7" t="s">
        <v>341</v>
      </c>
      <c r="B52" s="9" t="n">
        <v>22026</v>
      </c>
      <c r="C52" s="7" t="n">
        <v>39</v>
      </c>
      <c r="D52" s="9" t="n">
        <f aca="false">B52/C52</f>
        <v>564.769230769231</v>
      </c>
      <c r="E52" s="7" t="n">
        <v>20</v>
      </c>
      <c r="F52" s="9" t="n">
        <v>81470</v>
      </c>
      <c r="G52" s="7" t="n">
        <v>16</v>
      </c>
      <c r="H52" s="7" t="str">
        <f aca="false">IF(B52&gt;=Assumptions!$B$5,"High Spenders",IF(E52&gt;=Assumptions!$B$6,"Frequent Users",IF(C52&lt;=Assumptions!$B$7,"Low Activity","Mid-Tier")))</f>
        <v>Mid-Tier</v>
      </c>
    </row>
    <row r="53" customFormat="false" ht="15" hidden="false" customHeight="false" outlineLevel="0" collapsed="false">
      <c r="A53" s="7" t="s">
        <v>342</v>
      </c>
      <c r="B53" s="9" t="n">
        <v>37938</v>
      </c>
      <c r="C53" s="7" t="n">
        <v>3</v>
      </c>
      <c r="D53" s="9" t="n">
        <f aca="false">B53/C53</f>
        <v>12646</v>
      </c>
      <c r="E53" s="7" t="n">
        <v>19</v>
      </c>
      <c r="F53" s="9" t="n">
        <v>38197</v>
      </c>
      <c r="G53" s="7" t="n">
        <v>20</v>
      </c>
      <c r="H53" s="7" t="str">
        <f aca="false">IF(B53&gt;=Assumptions!$B$5,"High Spenders",IF(E53&gt;=Assumptions!$B$6,"Frequent Users",IF(C53&lt;=Assumptions!$B$7,"Low Activity","Mid-Tier")))</f>
        <v>High Spenders</v>
      </c>
    </row>
    <row r="54" customFormat="false" ht="15" hidden="false" customHeight="false" outlineLevel="0" collapsed="false">
      <c r="A54" s="7" t="s">
        <v>343</v>
      </c>
      <c r="B54" s="9" t="n">
        <v>19074</v>
      </c>
      <c r="C54" s="7" t="n">
        <v>32</v>
      </c>
      <c r="D54" s="9" t="n">
        <f aca="false">B54/C54</f>
        <v>596.0625</v>
      </c>
      <c r="E54" s="7" t="n">
        <v>3</v>
      </c>
      <c r="F54" s="9" t="n">
        <v>41844</v>
      </c>
      <c r="G54" s="7" t="n">
        <v>6</v>
      </c>
      <c r="H54" s="7" t="str">
        <f aca="false">IF(B54&gt;=Assumptions!$B$5,"High Spenders",IF(E54&gt;=Assumptions!$B$6,"Frequent Users",IF(C54&lt;=Assumptions!$B$7,"Low Activity","Mid-Tier")))</f>
        <v>Mid-Tier</v>
      </c>
    </row>
    <row r="55" customFormat="false" ht="15" hidden="false" customHeight="false" outlineLevel="0" collapsed="false">
      <c r="A55" s="7" t="s">
        <v>344</v>
      </c>
      <c r="B55" s="9" t="n">
        <v>9684</v>
      </c>
      <c r="C55" s="7" t="n">
        <v>10</v>
      </c>
      <c r="D55" s="9" t="n">
        <f aca="false">B55/C55</f>
        <v>968.4</v>
      </c>
      <c r="E55" s="7" t="n">
        <v>20</v>
      </c>
      <c r="F55" s="9" t="n">
        <v>64754</v>
      </c>
      <c r="G55" s="7" t="n">
        <v>19</v>
      </c>
      <c r="H55" s="7" t="str">
        <f aca="false">IF(B55&gt;=Assumptions!$B$5,"High Spenders",IF(E55&gt;=Assumptions!$B$6,"Frequent Users",IF(C55&lt;=Assumptions!$B$7,"Low Activity","Mid-Tier")))</f>
        <v>Mid-Tier</v>
      </c>
    </row>
    <row r="56" customFormat="false" ht="15" hidden="false" customHeight="false" outlineLevel="0" collapsed="false">
      <c r="A56" s="7" t="s">
        <v>345</v>
      </c>
      <c r="B56" s="9" t="n">
        <v>19596</v>
      </c>
      <c r="C56" s="7" t="n">
        <v>10</v>
      </c>
      <c r="D56" s="9" t="n">
        <f aca="false">B56/C56</f>
        <v>1959.6</v>
      </c>
      <c r="E56" s="7" t="n">
        <v>11</v>
      </c>
      <c r="F56" s="9" t="n">
        <v>34157</v>
      </c>
      <c r="G56" s="7" t="n">
        <v>5</v>
      </c>
      <c r="H56" s="7" t="str">
        <f aca="false">IF(B56&gt;=Assumptions!$B$5,"High Spenders",IF(E56&gt;=Assumptions!$B$6,"Frequent Users",IF(C56&lt;=Assumptions!$B$7,"Low Activity","Mid-Tier")))</f>
        <v>Mid-Tier</v>
      </c>
    </row>
    <row r="57" customFormat="false" ht="15" hidden="false" customHeight="false" outlineLevel="0" collapsed="false">
      <c r="A57" s="7" t="s">
        <v>346</v>
      </c>
      <c r="B57" s="9" t="n">
        <v>2692</v>
      </c>
      <c r="C57" s="7" t="n">
        <v>19</v>
      </c>
      <c r="D57" s="9" t="n">
        <f aca="false">B57/C57</f>
        <v>141.684210526316</v>
      </c>
      <c r="E57" s="7" t="n">
        <v>17</v>
      </c>
      <c r="F57" s="9" t="n">
        <v>77129</v>
      </c>
      <c r="G57" s="7" t="n">
        <v>3</v>
      </c>
      <c r="H57" s="7" t="str">
        <f aca="false">IF(B57&gt;=Assumptions!$B$5,"High Spenders",IF(E57&gt;=Assumptions!$B$6,"Frequent Users",IF(C57&lt;=Assumptions!$B$7,"Low Activity","Mid-Tier")))</f>
        <v>Mid-Tier</v>
      </c>
    </row>
    <row r="58" customFormat="false" ht="15" hidden="false" customHeight="false" outlineLevel="0" collapsed="false">
      <c r="A58" s="7" t="s">
        <v>347</v>
      </c>
      <c r="B58" s="9" t="n">
        <v>34516</v>
      </c>
      <c r="C58" s="7" t="n">
        <v>46</v>
      </c>
      <c r="D58" s="9" t="n">
        <f aca="false">B58/C58</f>
        <v>750.347826086957</v>
      </c>
      <c r="E58" s="7" t="n">
        <v>27</v>
      </c>
      <c r="F58" s="9" t="n">
        <v>40042</v>
      </c>
      <c r="G58" s="7" t="n">
        <v>1</v>
      </c>
      <c r="H58" s="7" t="str">
        <f aca="false">IF(B58&gt;=Assumptions!$B$5,"High Spenders",IF(E58&gt;=Assumptions!$B$6,"Frequent Users",IF(C58&lt;=Assumptions!$B$7,"Low Activity","Mid-Tier")))</f>
        <v>Frequent Users</v>
      </c>
    </row>
    <row r="59" customFormat="false" ht="15" hidden="false" customHeight="false" outlineLevel="0" collapsed="false">
      <c r="A59" s="7" t="s">
        <v>348</v>
      </c>
      <c r="B59" s="9" t="n">
        <v>11746</v>
      </c>
      <c r="C59" s="7" t="n">
        <v>34</v>
      </c>
      <c r="D59" s="9" t="n">
        <f aca="false">B59/C59</f>
        <v>345.470588235294</v>
      </c>
      <c r="E59" s="7" t="n">
        <v>13</v>
      </c>
      <c r="F59" s="9" t="n">
        <v>61665</v>
      </c>
      <c r="G59" s="7" t="n">
        <v>15</v>
      </c>
      <c r="H59" s="7" t="str">
        <f aca="false">IF(B59&gt;=Assumptions!$B$5,"High Spenders",IF(E59&gt;=Assumptions!$B$6,"Frequent Users",IF(C59&lt;=Assumptions!$B$7,"Low Activity","Mid-Tier")))</f>
        <v>Mid-Tier</v>
      </c>
    </row>
    <row r="60" customFormat="false" ht="15" hidden="false" customHeight="false" outlineLevel="0" collapsed="false">
      <c r="A60" s="7" t="s">
        <v>349</v>
      </c>
      <c r="B60" s="9" t="n">
        <v>46058</v>
      </c>
      <c r="C60" s="7" t="n">
        <v>33</v>
      </c>
      <c r="D60" s="9" t="n">
        <f aca="false">B60/C60</f>
        <v>1395.69696969697</v>
      </c>
      <c r="E60" s="7" t="n">
        <v>11</v>
      </c>
      <c r="F60" s="9" t="n">
        <v>82856</v>
      </c>
      <c r="G60" s="7" t="n">
        <v>34</v>
      </c>
      <c r="H60" s="7" t="str">
        <f aca="false">IF(B60&gt;=Assumptions!$B$5,"High Spenders",IF(E60&gt;=Assumptions!$B$6,"Frequent Users",IF(C60&lt;=Assumptions!$B$7,"Low Activity","Mid-Tier")))</f>
        <v>High Spenders</v>
      </c>
    </row>
    <row r="61" customFormat="false" ht="15" hidden="false" customHeight="false" outlineLevel="0" collapsed="false">
      <c r="A61" s="7" t="s">
        <v>350</v>
      </c>
      <c r="B61" s="9" t="n">
        <v>18881</v>
      </c>
      <c r="C61" s="7" t="n">
        <v>23</v>
      </c>
      <c r="D61" s="9" t="n">
        <f aca="false">B61/C61</f>
        <v>820.913043478261</v>
      </c>
      <c r="E61" s="7" t="n">
        <v>2</v>
      </c>
      <c r="F61" s="9" t="n">
        <v>27376</v>
      </c>
      <c r="G61" s="7" t="n">
        <v>35</v>
      </c>
      <c r="H61" s="7" t="str">
        <f aca="false">IF(B61&gt;=Assumptions!$B$5,"High Spenders",IF(E61&gt;=Assumptions!$B$6,"Frequent Users",IF(C61&lt;=Assumptions!$B$7,"Low Activity","Mid-Tier")))</f>
        <v>Mid-Tier</v>
      </c>
    </row>
    <row r="62" customFormat="false" ht="15" hidden="false" customHeight="false" outlineLevel="0" collapsed="false">
      <c r="A62" s="7" t="s">
        <v>351</v>
      </c>
      <c r="B62" s="9" t="n">
        <v>36955</v>
      </c>
      <c r="C62" s="7" t="n">
        <v>55</v>
      </c>
      <c r="D62" s="9" t="n">
        <f aca="false">B62/C62</f>
        <v>671.909090909091</v>
      </c>
      <c r="E62" s="7" t="n">
        <v>9</v>
      </c>
      <c r="F62" s="9" t="n">
        <v>55554</v>
      </c>
      <c r="G62" s="7" t="n">
        <v>25</v>
      </c>
      <c r="H62" s="7" t="str">
        <f aca="false">IF(B62&gt;=Assumptions!$B$5,"High Spenders",IF(E62&gt;=Assumptions!$B$6,"Frequent Users",IF(C62&lt;=Assumptions!$B$7,"Low Activity","Mid-Tier")))</f>
        <v>High Spenders</v>
      </c>
    </row>
    <row r="63" customFormat="false" ht="15" hidden="false" customHeight="false" outlineLevel="0" collapsed="false">
      <c r="A63" s="7" t="s">
        <v>352</v>
      </c>
      <c r="B63" s="9" t="n">
        <v>27227</v>
      </c>
      <c r="C63" s="7" t="n">
        <v>28</v>
      </c>
      <c r="D63" s="9" t="n">
        <f aca="false">B63/C63</f>
        <v>972.392857142857</v>
      </c>
      <c r="E63" s="7" t="n">
        <v>26</v>
      </c>
      <c r="F63" s="9" t="n">
        <v>14199</v>
      </c>
      <c r="G63" s="7" t="n">
        <v>24</v>
      </c>
      <c r="H63" s="7" t="str">
        <f aca="false">IF(B63&gt;=Assumptions!$B$5,"High Spenders",IF(E63&gt;=Assumptions!$B$6,"Frequent Users",IF(C63&lt;=Assumptions!$B$7,"Low Activity","Mid-Tier")))</f>
        <v>Frequent Users</v>
      </c>
    </row>
    <row r="64" customFormat="false" ht="15" hidden="false" customHeight="false" outlineLevel="0" collapsed="false">
      <c r="A64" s="7" t="s">
        <v>353</v>
      </c>
      <c r="B64" s="9" t="n">
        <v>4518</v>
      </c>
      <c r="C64" s="7" t="n">
        <v>32</v>
      </c>
      <c r="D64" s="9" t="n">
        <f aca="false">B64/C64</f>
        <v>141.1875</v>
      </c>
      <c r="E64" s="7" t="n">
        <v>2</v>
      </c>
      <c r="F64" s="9" t="n">
        <v>81412</v>
      </c>
      <c r="G64" s="7" t="n">
        <v>12</v>
      </c>
      <c r="H64" s="7" t="str">
        <f aca="false">IF(B64&gt;=Assumptions!$B$5,"High Spenders",IF(E64&gt;=Assumptions!$B$6,"Frequent Users",IF(C64&lt;=Assumptions!$B$7,"Low Activity","Mid-Tier")))</f>
        <v>Mid-Tier</v>
      </c>
    </row>
    <row r="65" customFormat="false" ht="15" hidden="false" customHeight="false" outlineLevel="0" collapsed="false">
      <c r="A65" s="7" t="s">
        <v>354</v>
      </c>
      <c r="B65" s="9" t="n">
        <v>11802</v>
      </c>
      <c r="C65" s="7" t="n">
        <v>50</v>
      </c>
      <c r="D65" s="9" t="n">
        <f aca="false">B65/C65</f>
        <v>236.04</v>
      </c>
      <c r="E65" s="7" t="n">
        <v>21</v>
      </c>
      <c r="F65" s="9" t="n">
        <v>50948</v>
      </c>
      <c r="G65" s="7" t="n">
        <v>18</v>
      </c>
      <c r="H65" s="7" t="str">
        <f aca="false">IF(B65&gt;=Assumptions!$B$5,"High Spenders",IF(E65&gt;=Assumptions!$B$6,"Frequent Users",IF(C65&lt;=Assumptions!$B$7,"Low Activity","Mid-Tier")))</f>
        <v>Mid-Tier</v>
      </c>
    </row>
    <row r="66" customFormat="false" ht="15" hidden="false" customHeight="false" outlineLevel="0" collapsed="false">
      <c r="A66" s="7" t="s">
        <v>355</v>
      </c>
      <c r="B66" s="9" t="n">
        <v>2470</v>
      </c>
      <c r="C66" s="7" t="n">
        <v>7</v>
      </c>
      <c r="D66" s="9" t="n">
        <f aca="false">B66/C66</f>
        <v>352.857142857143</v>
      </c>
      <c r="E66" s="7" t="n">
        <v>9</v>
      </c>
      <c r="F66" s="9" t="n">
        <v>73781</v>
      </c>
      <c r="G66" s="7" t="n">
        <v>15</v>
      </c>
      <c r="H66" s="7" t="str">
        <f aca="false">IF(B66&gt;=Assumptions!$B$5,"High Spenders",IF(E66&gt;=Assumptions!$B$6,"Frequent Users",IF(C66&lt;=Assumptions!$B$7,"Low Activity","Mid-Tier")))</f>
        <v>Low Activity</v>
      </c>
    </row>
    <row r="67" customFormat="false" ht="15" hidden="false" customHeight="false" outlineLevel="0" collapsed="false">
      <c r="A67" s="7" t="s">
        <v>356</v>
      </c>
      <c r="B67" s="9" t="n">
        <v>41657</v>
      </c>
      <c r="C67" s="7" t="n">
        <v>29</v>
      </c>
      <c r="D67" s="9" t="n">
        <f aca="false">B67/C67</f>
        <v>1436.44827586207</v>
      </c>
      <c r="E67" s="7" t="n">
        <v>9</v>
      </c>
      <c r="F67" s="9" t="n">
        <v>72750</v>
      </c>
      <c r="G67" s="7" t="n">
        <v>16</v>
      </c>
      <c r="H67" s="7" t="str">
        <f aca="false">IF(B67&gt;=Assumptions!$B$5,"High Spenders",IF(E67&gt;=Assumptions!$B$6,"Frequent Users",IF(C67&lt;=Assumptions!$B$7,"Low Activity","Mid-Tier")))</f>
        <v>High Spenders</v>
      </c>
    </row>
    <row r="68" customFormat="false" ht="15" hidden="false" customHeight="false" outlineLevel="0" collapsed="false">
      <c r="A68" s="7" t="s">
        <v>357</v>
      </c>
      <c r="B68" s="9" t="n">
        <v>27702</v>
      </c>
      <c r="C68" s="7" t="n">
        <v>8</v>
      </c>
      <c r="D68" s="9" t="n">
        <f aca="false">B68/C68</f>
        <v>3462.75</v>
      </c>
      <c r="E68" s="7" t="n">
        <v>8</v>
      </c>
      <c r="F68" s="9" t="n">
        <v>66262</v>
      </c>
      <c r="G68" s="7" t="n">
        <v>27</v>
      </c>
      <c r="H68" s="7" t="str">
        <f aca="false">IF(B68&gt;=Assumptions!$B$5,"High Spenders",IF(E68&gt;=Assumptions!$B$6,"Frequent Users",IF(C68&lt;=Assumptions!$B$7,"Low Activity","Mid-Tier")))</f>
        <v>Low Activity</v>
      </c>
    </row>
    <row r="69" customFormat="false" ht="15" hidden="false" customHeight="false" outlineLevel="0" collapsed="false">
      <c r="A69" s="7" t="s">
        <v>358</v>
      </c>
      <c r="B69" s="9" t="n">
        <v>31610</v>
      </c>
      <c r="C69" s="7" t="n">
        <v>1</v>
      </c>
      <c r="D69" s="9" t="n">
        <f aca="false">B69/C69</f>
        <v>31610</v>
      </c>
      <c r="E69" s="7" t="n">
        <v>17</v>
      </c>
      <c r="F69" s="9" t="n">
        <v>46600</v>
      </c>
      <c r="G69" s="7" t="n">
        <v>8</v>
      </c>
      <c r="H69" s="7" t="str">
        <f aca="false">IF(B69&gt;=Assumptions!$B$5,"High Spenders",IF(E69&gt;=Assumptions!$B$6,"Frequent Users",IF(C69&lt;=Assumptions!$B$7,"Low Activity","Mid-Tier")))</f>
        <v>Low Activity</v>
      </c>
    </row>
    <row r="70" customFormat="false" ht="15" hidden="false" customHeight="false" outlineLevel="0" collapsed="false">
      <c r="A70" s="7" t="s">
        <v>359</v>
      </c>
      <c r="B70" s="9" t="n">
        <v>18086</v>
      </c>
      <c r="C70" s="7" t="n">
        <v>57</v>
      </c>
      <c r="D70" s="9" t="n">
        <f aca="false">B70/C70</f>
        <v>317.298245614035</v>
      </c>
      <c r="E70" s="7" t="n">
        <v>1</v>
      </c>
      <c r="F70" s="9" t="n">
        <v>76898</v>
      </c>
      <c r="G70" s="7" t="n">
        <v>25</v>
      </c>
      <c r="H70" s="7" t="str">
        <f aca="false">IF(B70&gt;=Assumptions!$B$5,"High Spenders",IF(E70&gt;=Assumptions!$B$6,"Frequent Users",IF(C70&lt;=Assumptions!$B$7,"Low Activity","Mid-Tier")))</f>
        <v>Mid-Tier</v>
      </c>
    </row>
    <row r="71" customFormat="false" ht="15" hidden="false" customHeight="false" outlineLevel="0" collapsed="false">
      <c r="A71" s="7" t="s">
        <v>360</v>
      </c>
      <c r="B71" s="9" t="n">
        <v>25019</v>
      </c>
      <c r="C71" s="7" t="n">
        <v>55</v>
      </c>
      <c r="D71" s="9" t="n">
        <f aca="false">B71/C71</f>
        <v>454.890909090909</v>
      </c>
      <c r="E71" s="7" t="n">
        <v>25</v>
      </c>
      <c r="F71" s="9" t="n">
        <v>62483</v>
      </c>
      <c r="G71" s="7" t="n">
        <v>17</v>
      </c>
      <c r="H71" s="7" t="str">
        <f aca="false">IF(B71&gt;=Assumptions!$B$5,"High Spenders",IF(E71&gt;=Assumptions!$B$6,"Frequent Users",IF(C71&lt;=Assumptions!$B$7,"Low Activity","Mid-Tier")))</f>
        <v>Frequent Users</v>
      </c>
    </row>
    <row r="72" customFormat="false" ht="15" hidden="false" customHeight="false" outlineLevel="0" collapsed="false">
      <c r="A72" s="7" t="s">
        <v>361</v>
      </c>
      <c r="B72" s="9" t="n">
        <v>31773</v>
      </c>
      <c r="C72" s="7" t="n">
        <v>3</v>
      </c>
      <c r="D72" s="9" t="n">
        <f aca="false">B72/C72</f>
        <v>10591</v>
      </c>
      <c r="E72" s="7" t="n">
        <v>29</v>
      </c>
      <c r="F72" s="9" t="n">
        <v>18297</v>
      </c>
      <c r="G72" s="7" t="n">
        <v>29</v>
      </c>
      <c r="H72" s="7" t="str">
        <f aca="false">IF(B72&gt;=Assumptions!$B$5,"High Spenders",IF(E72&gt;=Assumptions!$B$6,"Frequent Users",IF(C72&lt;=Assumptions!$B$7,"Low Activity","Mid-Tier")))</f>
        <v>Frequent Users</v>
      </c>
    </row>
    <row r="73" customFormat="false" ht="15" hidden="false" customHeight="false" outlineLevel="0" collapsed="false">
      <c r="A73" s="7" t="s">
        <v>362</v>
      </c>
      <c r="B73" s="9" t="n">
        <v>22451</v>
      </c>
      <c r="C73" s="7" t="n">
        <v>24</v>
      </c>
      <c r="D73" s="9" t="n">
        <f aca="false">B73/C73</f>
        <v>935.458333333333</v>
      </c>
      <c r="E73" s="7" t="n">
        <v>11</v>
      </c>
      <c r="F73" s="9" t="n">
        <v>30448</v>
      </c>
      <c r="G73" s="7" t="n">
        <v>8</v>
      </c>
      <c r="H73" s="7" t="str">
        <f aca="false">IF(B73&gt;=Assumptions!$B$5,"High Spenders",IF(E73&gt;=Assumptions!$B$6,"Frequent Users",IF(C73&lt;=Assumptions!$B$7,"Low Activity","Mid-Tier")))</f>
        <v>Mid-Tier</v>
      </c>
    </row>
    <row r="74" customFormat="false" ht="15" hidden="false" customHeight="false" outlineLevel="0" collapsed="false">
      <c r="A74" s="7" t="s">
        <v>363</v>
      </c>
      <c r="B74" s="9" t="n">
        <v>15874</v>
      </c>
      <c r="C74" s="7" t="n">
        <v>23</v>
      </c>
      <c r="D74" s="9" t="n">
        <f aca="false">B74/C74</f>
        <v>690.173913043478</v>
      </c>
      <c r="E74" s="7" t="n">
        <v>8</v>
      </c>
      <c r="F74" s="9" t="n">
        <v>26172</v>
      </c>
      <c r="G74" s="7" t="n">
        <v>15</v>
      </c>
      <c r="H74" s="7" t="str">
        <f aca="false">IF(B74&gt;=Assumptions!$B$5,"High Spenders",IF(E74&gt;=Assumptions!$B$6,"Frequent Users",IF(C74&lt;=Assumptions!$B$7,"Low Activity","Mid-Tier")))</f>
        <v>Mid-Tier</v>
      </c>
    </row>
    <row r="75" customFormat="false" ht="15" hidden="false" customHeight="false" outlineLevel="0" collapsed="false">
      <c r="A75" s="7" t="s">
        <v>364</v>
      </c>
      <c r="B75" s="9" t="n">
        <v>6288</v>
      </c>
      <c r="C75" s="7" t="n">
        <v>59</v>
      </c>
      <c r="D75" s="9" t="n">
        <f aca="false">B75/C75</f>
        <v>106.576271186441</v>
      </c>
      <c r="E75" s="7" t="n">
        <v>10</v>
      </c>
      <c r="F75" s="9" t="n">
        <v>42874</v>
      </c>
      <c r="G75" s="7" t="n">
        <v>27</v>
      </c>
      <c r="H75" s="7" t="str">
        <f aca="false">IF(B75&gt;=Assumptions!$B$5,"High Spenders",IF(E75&gt;=Assumptions!$B$6,"Frequent Users",IF(C75&lt;=Assumptions!$B$7,"Low Activity","Mid-Tier")))</f>
        <v>Mid-Tier</v>
      </c>
    </row>
    <row r="76" customFormat="false" ht="15" hidden="false" customHeight="false" outlineLevel="0" collapsed="false">
      <c r="A76" s="7" t="s">
        <v>365</v>
      </c>
      <c r="B76" s="9" t="n">
        <v>5908</v>
      </c>
      <c r="C76" s="7" t="n">
        <v>8</v>
      </c>
      <c r="D76" s="9" t="n">
        <f aca="false">B76/C76</f>
        <v>738.5</v>
      </c>
      <c r="E76" s="7" t="n">
        <v>25</v>
      </c>
      <c r="F76" s="9" t="n">
        <v>7657</v>
      </c>
      <c r="G76" s="7" t="n">
        <v>7</v>
      </c>
      <c r="H76" s="7" t="str">
        <f aca="false">IF(B76&gt;=Assumptions!$B$5,"High Spenders",IF(E76&gt;=Assumptions!$B$6,"Frequent Users",IF(C76&lt;=Assumptions!$B$7,"Low Activity","Mid-Tier")))</f>
        <v>Frequent Users</v>
      </c>
    </row>
    <row r="77" customFormat="false" ht="15" hidden="false" customHeight="false" outlineLevel="0" collapsed="false">
      <c r="A77" s="7" t="s">
        <v>366</v>
      </c>
      <c r="B77" s="9" t="n">
        <v>25553</v>
      </c>
      <c r="C77" s="7" t="n">
        <v>54</v>
      </c>
      <c r="D77" s="9" t="n">
        <f aca="false">B77/C77</f>
        <v>473.203703703704</v>
      </c>
      <c r="E77" s="7" t="n">
        <v>7</v>
      </c>
      <c r="F77" s="9" t="n">
        <v>84386</v>
      </c>
      <c r="G77" s="7" t="n">
        <v>3</v>
      </c>
      <c r="H77" s="7" t="str">
        <f aca="false">IF(B77&gt;=Assumptions!$B$5,"High Spenders",IF(E77&gt;=Assumptions!$B$6,"Frequent Users",IF(C77&lt;=Assumptions!$B$7,"Low Activity","Mid-Tier")))</f>
        <v>Mid-Tier</v>
      </c>
    </row>
    <row r="78" customFormat="false" ht="15" hidden="false" customHeight="false" outlineLevel="0" collapsed="false">
      <c r="A78" s="7" t="s">
        <v>367</v>
      </c>
      <c r="B78" s="9" t="n">
        <v>9946</v>
      </c>
      <c r="C78" s="7" t="n">
        <v>57</v>
      </c>
      <c r="D78" s="9" t="n">
        <f aca="false">B78/C78</f>
        <v>174.491228070175</v>
      </c>
      <c r="E78" s="7" t="n">
        <v>3</v>
      </c>
      <c r="F78" s="9" t="n">
        <v>25425</v>
      </c>
      <c r="G78" s="7" t="n">
        <v>29</v>
      </c>
      <c r="H78" s="7" t="str">
        <f aca="false">IF(B78&gt;=Assumptions!$B$5,"High Spenders",IF(E78&gt;=Assumptions!$B$6,"Frequent Users",IF(C78&lt;=Assumptions!$B$7,"Low Activity","Mid-Tier")))</f>
        <v>Mid-Tier</v>
      </c>
    </row>
    <row r="79" customFormat="false" ht="15" hidden="false" customHeight="false" outlineLevel="0" collapsed="false">
      <c r="A79" s="7" t="s">
        <v>368</v>
      </c>
      <c r="B79" s="9" t="n">
        <v>1422</v>
      </c>
      <c r="C79" s="7" t="n">
        <v>47</v>
      </c>
      <c r="D79" s="9" t="n">
        <f aca="false">B79/C79</f>
        <v>30.2553191489362</v>
      </c>
      <c r="E79" s="7" t="n">
        <v>3</v>
      </c>
      <c r="F79" s="9" t="n">
        <v>26685</v>
      </c>
      <c r="G79" s="7" t="n">
        <v>24</v>
      </c>
      <c r="H79" s="7" t="str">
        <f aca="false">IF(B79&gt;=Assumptions!$B$5,"High Spenders",IF(E79&gt;=Assumptions!$B$6,"Frequent Users",IF(C79&lt;=Assumptions!$B$7,"Low Activity","Mid-Tier")))</f>
        <v>Mid-Tier</v>
      </c>
    </row>
    <row r="80" customFormat="false" ht="15" hidden="false" customHeight="false" outlineLevel="0" collapsed="false">
      <c r="A80" s="7" t="s">
        <v>369</v>
      </c>
      <c r="B80" s="9" t="n">
        <v>33687</v>
      </c>
      <c r="C80" s="7" t="n">
        <v>37</v>
      </c>
      <c r="D80" s="9" t="n">
        <f aca="false">B80/C80</f>
        <v>910.45945945946</v>
      </c>
      <c r="E80" s="7" t="n">
        <v>18</v>
      </c>
      <c r="F80" s="9" t="n">
        <v>24578</v>
      </c>
      <c r="G80" s="7" t="n">
        <v>3</v>
      </c>
      <c r="H80" s="7" t="str">
        <f aca="false">IF(B80&gt;=Assumptions!$B$5,"High Spenders",IF(E80&gt;=Assumptions!$B$6,"Frequent Users",IF(C80&lt;=Assumptions!$B$7,"Low Activity","Mid-Tier")))</f>
        <v>Mid-Tier</v>
      </c>
    </row>
    <row r="81" customFormat="false" ht="15" hidden="false" customHeight="false" outlineLevel="0" collapsed="false">
      <c r="A81" s="7" t="s">
        <v>370</v>
      </c>
      <c r="B81" s="9" t="n">
        <v>11289</v>
      </c>
      <c r="C81" s="7" t="n">
        <v>3</v>
      </c>
      <c r="D81" s="9" t="n">
        <f aca="false">B81/C81</f>
        <v>3763</v>
      </c>
      <c r="E81" s="7" t="n">
        <v>5</v>
      </c>
      <c r="F81" s="9" t="n">
        <v>28831</v>
      </c>
      <c r="G81" s="7" t="n">
        <v>20</v>
      </c>
      <c r="H81" s="7" t="str">
        <f aca="false">IF(B81&gt;=Assumptions!$B$5,"High Spenders",IF(E81&gt;=Assumptions!$B$6,"Frequent Users",IF(C81&lt;=Assumptions!$B$7,"Low Activity","Mid-Tier")))</f>
        <v>Low Activity</v>
      </c>
    </row>
    <row r="82" customFormat="false" ht="15" hidden="false" customHeight="false" outlineLevel="0" collapsed="false">
      <c r="A82" s="7" t="s">
        <v>371</v>
      </c>
      <c r="B82" s="9" t="n">
        <v>32684</v>
      </c>
      <c r="C82" s="7" t="n">
        <v>51</v>
      </c>
      <c r="D82" s="9" t="n">
        <f aca="false">B82/C82</f>
        <v>640.862745098039</v>
      </c>
      <c r="E82" s="7" t="n">
        <v>12</v>
      </c>
      <c r="F82" s="9" t="n">
        <v>7906</v>
      </c>
      <c r="G82" s="7" t="n">
        <v>15</v>
      </c>
      <c r="H82" s="7" t="str">
        <f aca="false">IF(B82&gt;=Assumptions!$B$5,"High Spenders",IF(E82&gt;=Assumptions!$B$6,"Frequent Users",IF(C82&lt;=Assumptions!$B$7,"Low Activity","Mid-Tier")))</f>
        <v>Mid-Tier</v>
      </c>
    </row>
    <row r="83" customFormat="false" ht="15" hidden="false" customHeight="false" outlineLevel="0" collapsed="false">
      <c r="A83" s="7" t="s">
        <v>372</v>
      </c>
      <c r="B83" s="9" t="n">
        <v>1620</v>
      </c>
      <c r="C83" s="7" t="n">
        <v>33</v>
      </c>
      <c r="D83" s="9" t="n">
        <f aca="false">B83/C83</f>
        <v>49.0909090909091</v>
      </c>
      <c r="E83" s="7" t="n">
        <v>12</v>
      </c>
      <c r="F83" s="9" t="n">
        <v>61413</v>
      </c>
      <c r="G83" s="7" t="n">
        <v>25</v>
      </c>
      <c r="H83" s="7" t="str">
        <f aca="false">IF(B83&gt;=Assumptions!$B$5,"High Spenders",IF(E83&gt;=Assumptions!$B$6,"Frequent Users",IF(C83&lt;=Assumptions!$B$7,"Low Activity","Mid-Tier")))</f>
        <v>Mid-Tier</v>
      </c>
    </row>
    <row r="84" customFormat="false" ht="15" hidden="false" customHeight="false" outlineLevel="0" collapsed="false">
      <c r="A84" s="7" t="s">
        <v>373</v>
      </c>
      <c r="B84" s="9" t="n">
        <v>44528</v>
      </c>
      <c r="C84" s="7" t="n">
        <v>28</v>
      </c>
      <c r="D84" s="9" t="n">
        <f aca="false">B84/C84</f>
        <v>1590.28571428571</v>
      </c>
      <c r="E84" s="7" t="n">
        <v>19</v>
      </c>
      <c r="F84" s="9" t="n">
        <v>54028</v>
      </c>
      <c r="G84" s="7" t="n">
        <v>30</v>
      </c>
      <c r="H84" s="7" t="str">
        <f aca="false">IF(B84&gt;=Assumptions!$B$5,"High Spenders",IF(E84&gt;=Assumptions!$B$6,"Frequent Users",IF(C84&lt;=Assumptions!$B$7,"Low Activity","Mid-Tier")))</f>
        <v>High Spenders</v>
      </c>
    </row>
    <row r="85" customFormat="false" ht="15" hidden="false" customHeight="false" outlineLevel="0" collapsed="false">
      <c r="A85" s="7" t="s">
        <v>374</v>
      </c>
      <c r="B85" s="9" t="n">
        <v>32654</v>
      </c>
      <c r="C85" s="7" t="n">
        <v>47</v>
      </c>
      <c r="D85" s="9" t="n">
        <f aca="false">B85/C85</f>
        <v>694.765957446809</v>
      </c>
      <c r="E85" s="7" t="n">
        <v>6</v>
      </c>
      <c r="F85" s="9" t="n">
        <v>7287</v>
      </c>
      <c r="G85" s="7" t="n">
        <v>14</v>
      </c>
      <c r="H85" s="7" t="str">
        <f aca="false">IF(B85&gt;=Assumptions!$B$5,"High Spenders",IF(E85&gt;=Assumptions!$B$6,"Frequent Users",IF(C85&lt;=Assumptions!$B$7,"Low Activity","Mid-Tier")))</f>
        <v>Mid-Tier</v>
      </c>
    </row>
    <row r="86" customFormat="false" ht="15" hidden="false" customHeight="false" outlineLevel="0" collapsed="false">
      <c r="A86" s="7" t="s">
        <v>375</v>
      </c>
      <c r="B86" s="9" t="n">
        <v>17834</v>
      </c>
      <c r="C86" s="7" t="n">
        <v>8</v>
      </c>
      <c r="D86" s="9" t="n">
        <f aca="false">B86/C86</f>
        <v>2229.25</v>
      </c>
      <c r="E86" s="7" t="n">
        <v>2</v>
      </c>
      <c r="F86" s="9" t="n">
        <v>33660</v>
      </c>
      <c r="G86" s="7" t="n">
        <v>7</v>
      </c>
      <c r="H86" s="7" t="str">
        <f aca="false">IF(B86&gt;=Assumptions!$B$5,"High Spenders",IF(E86&gt;=Assumptions!$B$6,"Frequent Users",IF(C86&lt;=Assumptions!$B$7,"Low Activity","Mid-Tier")))</f>
        <v>Low Activity</v>
      </c>
    </row>
    <row r="87" customFormat="false" ht="15" hidden="false" customHeight="false" outlineLevel="0" collapsed="false">
      <c r="A87" s="7" t="s">
        <v>376</v>
      </c>
      <c r="B87" s="9" t="n">
        <v>2836</v>
      </c>
      <c r="C87" s="7" t="n">
        <v>34</v>
      </c>
      <c r="D87" s="9" t="n">
        <f aca="false">B87/C87</f>
        <v>83.4117647058824</v>
      </c>
      <c r="E87" s="7" t="n">
        <v>12</v>
      </c>
      <c r="F87" s="9" t="n">
        <v>75758</v>
      </c>
      <c r="G87" s="7" t="n">
        <v>17</v>
      </c>
      <c r="H87" s="7" t="str">
        <f aca="false">IF(B87&gt;=Assumptions!$B$5,"High Spenders",IF(E87&gt;=Assumptions!$B$6,"Frequent Users",IF(C87&lt;=Assumptions!$B$7,"Low Activity","Mid-Tier")))</f>
        <v>Mid-Tier</v>
      </c>
    </row>
    <row r="88" customFormat="false" ht="15" hidden="false" customHeight="false" outlineLevel="0" collapsed="false">
      <c r="A88" s="7" t="s">
        <v>377</v>
      </c>
      <c r="B88" s="9" t="n">
        <v>38641</v>
      </c>
      <c r="C88" s="7" t="n">
        <v>35</v>
      </c>
      <c r="D88" s="9" t="n">
        <f aca="false">B88/C88</f>
        <v>1104.02857142857</v>
      </c>
      <c r="E88" s="7" t="n">
        <v>19</v>
      </c>
      <c r="F88" s="9" t="n">
        <v>60504</v>
      </c>
      <c r="G88" s="7" t="n">
        <v>20</v>
      </c>
      <c r="H88" s="7" t="str">
        <f aca="false">IF(B88&gt;=Assumptions!$B$5,"High Spenders",IF(E88&gt;=Assumptions!$B$6,"Frequent Users",IF(C88&lt;=Assumptions!$B$7,"Low Activity","Mid-Tier")))</f>
        <v>High Spenders</v>
      </c>
    </row>
    <row r="89" customFormat="false" ht="15" hidden="false" customHeight="false" outlineLevel="0" collapsed="false">
      <c r="A89" s="7" t="s">
        <v>378</v>
      </c>
      <c r="B89" s="9" t="n">
        <v>2743</v>
      </c>
      <c r="C89" s="7" t="n">
        <v>32</v>
      </c>
      <c r="D89" s="9" t="n">
        <f aca="false">B89/C89</f>
        <v>85.71875</v>
      </c>
      <c r="E89" s="7" t="n">
        <v>5</v>
      </c>
      <c r="F89" s="9" t="n">
        <v>59720</v>
      </c>
      <c r="G89" s="7" t="n">
        <v>9</v>
      </c>
      <c r="H89" s="7" t="str">
        <f aca="false">IF(B89&gt;=Assumptions!$B$5,"High Spenders",IF(E89&gt;=Assumptions!$B$6,"Frequent Users",IF(C89&lt;=Assumptions!$B$7,"Low Activity","Mid-Tier")))</f>
        <v>Mid-Tier</v>
      </c>
    </row>
    <row r="90" customFormat="false" ht="15" hidden="false" customHeight="false" outlineLevel="0" collapsed="false">
      <c r="A90" s="7" t="s">
        <v>379</v>
      </c>
      <c r="B90" s="9" t="n">
        <v>19529</v>
      </c>
      <c r="C90" s="7" t="n">
        <v>24</v>
      </c>
      <c r="D90" s="9" t="n">
        <f aca="false">B90/C90</f>
        <v>813.708333333333</v>
      </c>
      <c r="E90" s="7" t="n">
        <v>12</v>
      </c>
      <c r="F90" s="9" t="n">
        <v>34701</v>
      </c>
      <c r="G90" s="7" t="n">
        <v>22</v>
      </c>
      <c r="H90" s="7" t="str">
        <f aca="false">IF(B90&gt;=Assumptions!$B$5,"High Spenders",IF(E90&gt;=Assumptions!$B$6,"Frequent Users",IF(C90&lt;=Assumptions!$B$7,"Low Activity","Mid-Tier")))</f>
        <v>Mid-Tier</v>
      </c>
    </row>
    <row r="91" customFormat="false" ht="15" hidden="false" customHeight="false" outlineLevel="0" collapsed="false">
      <c r="A91" s="7" t="s">
        <v>380</v>
      </c>
      <c r="B91" s="9" t="n">
        <v>32765</v>
      </c>
      <c r="C91" s="7" t="n">
        <v>14</v>
      </c>
      <c r="D91" s="9" t="n">
        <f aca="false">B91/C91</f>
        <v>2340.35714285714</v>
      </c>
      <c r="E91" s="7" t="n">
        <v>27</v>
      </c>
      <c r="F91" s="9" t="n">
        <v>83300</v>
      </c>
      <c r="G91" s="7" t="n">
        <v>2</v>
      </c>
      <c r="H91" s="7" t="str">
        <f aca="false">IF(B91&gt;=Assumptions!$B$5,"High Spenders",IF(E91&gt;=Assumptions!$B$6,"Frequent Users",IF(C91&lt;=Assumptions!$B$7,"Low Activity","Mid-Tier")))</f>
        <v>Frequent Users</v>
      </c>
    </row>
    <row r="92" customFormat="false" ht="15" hidden="false" customHeight="false" outlineLevel="0" collapsed="false">
      <c r="A92" s="7" t="s">
        <v>381</v>
      </c>
      <c r="B92" s="9" t="n">
        <v>37880</v>
      </c>
      <c r="C92" s="7" t="n">
        <v>32</v>
      </c>
      <c r="D92" s="9" t="n">
        <f aca="false">B92/C92</f>
        <v>1183.75</v>
      </c>
      <c r="E92" s="7" t="n">
        <v>27</v>
      </c>
      <c r="F92" s="9" t="n">
        <v>17674</v>
      </c>
      <c r="G92" s="7" t="n">
        <v>24</v>
      </c>
      <c r="H92" s="7" t="str">
        <f aca="false">IF(B92&gt;=Assumptions!$B$5,"High Spenders",IF(E92&gt;=Assumptions!$B$6,"Frequent Users",IF(C92&lt;=Assumptions!$B$7,"Low Activity","Mid-Tier")))</f>
        <v>High Spenders</v>
      </c>
    </row>
    <row r="93" customFormat="false" ht="15" hidden="false" customHeight="false" outlineLevel="0" collapsed="false">
      <c r="A93" s="7" t="s">
        <v>382</v>
      </c>
      <c r="B93" s="9" t="n">
        <v>47214</v>
      </c>
      <c r="C93" s="7" t="n">
        <v>56</v>
      </c>
      <c r="D93" s="9" t="n">
        <f aca="false">B93/C93</f>
        <v>843.107142857143</v>
      </c>
      <c r="E93" s="7" t="n">
        <v>17</v>
      </c>
      <c r="F93" s="9" t="n">
        <v>83560</v>
      </c>
      <c r="G93" s="7" t="n">
        <v>8</v>
      </c>
      <c r="H93" s="7" t="str">
        <f aca="false">IF(B93&gt;=Assumptions!$B$5,"High Spenders",IF(E93&gt;=Assumptions!$B$6,"Frequent Users",IF(C93&lt;=Assumptions!$B$7,"Low Activity","Mid-Tier")))</f>
        <v>High Spenders</v>
      </c>
    </row>
    <row r="94" customFormat="false" ht="15" hidden="false" customHeight="false" outlineLevel="0" collapsed="false">
      <c r="A94" s="7" t="s">
        <v>383</v>
      </c>
      <c r="B94" s="9" t="n">
        <v>44372</v>
      </c>
      <c r="C94" s="7" t="n">
        <v>46</v>
      </c>
      <c r="D94" s="9" t="n">
        <f aca="false">B94/C94</f>
        <v>964.608695652174</v>
      </c>
      <c r="E94" s="7" t="n">
        <v>29</v>
      </c>
      <c r="F94" s="9" t="n">
        <v>23874</v>
      </c>
      <c r="G94" s="7" t="n">
        <v>11</v>
      </c>
      <c r="H94" s="7" t="str">
        <f aca="false">IF(B94&gt;=Assumptions!$B$5,"High Spenders",IF(E94&gt;=Assumptions!$B$6,"Frequent Users",IF(C94&lt;=Assumptions!$B$7,"Low Activity","Mid-Tier")))</f>
        <v>High Spenders</v>
      </c>
    </row>
    <row r="95" customFormat="false" ht="15" hidden="false" customHeight="false" outlineLevel="0" collapsed="false">
      <c r="A95" s="7" t="s">
        <v>384</v>
      </c>
      <c r="B95" s="9" t="n">
        <v>46697</v>
      </c>
      <c r="C95" s="7" t="n">
        <v>43</v>
      </c>
      <c r="D95" s="9" t="n">
        <f aca="false">B95/C95</f>
        <v>1085.97674418605</v>
      </c>
      <c r="E95" s="7" t="n">
        <v>17</v>
      </c>
      <c r="F95" s="9" t="n">
        <v>43642</v>
      </c>
      <c r="G95" s="7" t="n">
        <v>13</v>
      </c>
      <c r="H95" s="7" t="str">
        <f aca="false">IF(B95&gt;=Assumptions!$B$5,"High Spenders",IF(E95&gt;=Assumptions!$B$6,"Frequent Users",IF(C95&lt;=Assumptions!$B$7,"Low Activity","Mid-Tier")))</f>
        <v>High Spenders</v>
      </c>
    </row>
    <row r="96" customFormat="false" ht="15" hidden="false" customHeight="false" outlineLevel="0" collapsed="false">
      <c r="A96" s="7" t="s">
        <v>385</v>
      </c>
      <c r="B96" s="9" t="n">
        <v>24210</v>
      </c>
      <c r="C96" s="7" t="n">
        <v>16</v>
      </c>
      <c r="D96" s="9" t="n">
        <f aca="false">B96/C96</f>
        <v>1513.125</v>
      </c>
      <c r="E96" s="7" t="n">
        <v>10</v>
      </c>
      <c r="F96" s="9" t="n">
        <v>97820</v>
      </c>
      <c r="G96" s="7" t="n">
        <v>17</v>
      </c>
      <c r="H96" s="7" t="str">
        <f aca="false">IF(B96&gt;=Assumptions!$B$5,"High Spenders",IF(E96&gt;=Assumptions!$B$6,"Frequent Users",IF(C96&lt;=Assumptions!$B$7,"Low Activity","Mid-Tier")))</f>
        <v>Mid-Tier</v>
      </c>
    </row>
    <row r="97" customFormat="false" ht="15" hidden="false" customHeight="false" outlineLevel="0" collapsed="false">
      <c r="A97" s="7" t="s">
        <v>386</v>
      </c>
      <c r="B97" s="9" t="n">
        <v>29986</v>
      </c>
      <c r="C97" s="7" t="n">
        <v>4</v>
      </c>
      <c r="D97" s="9" t="n">
        <f aca="false">B97/C97</f>
        <v>7496.5</v>
      </c>
      <c r="E97" s="7" t="n">
        <v>25</v>
      </c>
      <c r="F97" s="9" t="n">
        <v>65160</v>
      </c>
      <c r="G97" s="7" t="n">
        <v>8</v>
      </c>
      <c r="H97" s="7" t="str">
        <f aca="false">IF(B97&gt;=Assumptions!$B$5,"High Spenders",IF(E97&gt;=Assumptions!$B$6,"Frequent Users",IF(C97&lt;=Assumptions!$B$7,"Low Activity","Mid-Tier")))</f>
        <v>Frequent Users</v>
      </c>
    </row>
    <row r="98" customFormat="false" ht="15" hidden="false" customHeight="false" outlineLevel="0" collapsed="false">
      <c r="A98" s="7" t="s">
        <v>387</v>
      </c>
      <c r="B98" s="9" t="n">
        <v>6871</v>
      </c>
      <c r="C98" s="7" t="n">
        <v>52</v>
      </c>
      <c r="D98" s="9" t="n">
        <f aca="false">B98/C98</f>
        <v>132.134615384615</v>
      </c>
      <c r="E98" s="7" t="n">
        <v>23</v>
      </c>
      <c r="F98" s="9" t="n">
        <v>17602</v>
      </c>
      <c r="G98" s="7" t="n">
        <v>21</v>
      </c>
      <c r="H98" s="7" t="str">
        <f aca="false">IF(B98&gt;=Assumptions!$B$5,"High Spenders",IF(E98&gt;=Assumptions!$B$6,"Frequent Users",IF(C98&lt;=Assumptions!$B$7,"Low Activity","Mid-Tier")))</f>
        <v>Frequent Users</v>
      </c>
    </row>
    <row r="99" customFormat="false" ht="15" hidden="false" customHeight="false" outlineLevel="0" collapsed="false">
      <c r="A99" s="7" t="s">
        <v>388</v>
      </c>
      <c r="B99" s="9" t="n">
        <v>6859</v>
      </c>
      <c r="C99" s="7" t="n">
        <v>37</v>
      </c>
      <c r="D99" s="9" t="n">
        <f aca="false">B99/C99</f>
        <v>185.378378378378</v>
      </c>
      <c r="E99" s="7" t="n">
        <v>17</v>
      </c>
      <c r="F99" s="9" t="n">
        <v>88801</v>
      </c>
      <c r="G99" s="7" t="n">
        <v>18</v>
      </c>
      <c r="H99" s="7" t="str">
        <f aca="false">IF(B99&gt;=Assumptions!$B$5,"High Spenders",IF(E99&gt;=Assumptions!$B$6,"Frequent Users",IF(C99&lt;=Assumptions!$B$7,"Low Activity","Mid-Tier")))</f>
        <v>Mid-Tier</v>
      </c>
    </row>
    <row r="100" customFormat="false" ht="15" hidden="false" customHeight="false" outlineLevel="0" collapsed="false">
      <c r="A100" s="7" t="s">
        <v>389</v>
      </c>
      <c r="B100" s="9" t="n">
        <v>41131</v>
      </c>
      <c r="C100" s="7" t="n">
        <v>54</v>
      </c>
      <c r="D100" s="9" t="n">
        <f aca="false">B100/C100</f>
        <v>761.685185185185</v>
      </c>
      <c r="E100" s="7" t="n">
        <v>15</v>
      </c>
      <c r="F100" s="9" t="n">
        <v>25931</v>
      </c>
      <c r="G100" s="7" t="n">
        <v>30</v>
      </c>
      <c r="H100" s="7" t="str">
        <f aca="false">IF(B100&gt;=Assumptions!$B$5,"High Spenders",IF(E100&gt;=Assumptions!$B$6,"Frequent Users",IF(C100&lt;=Assumptions!$B$7,"Low Activity","Mid-Tier")))</f>
        <v>High Spenders</v>
      </c>
    </row>
    <row r="101" customFormat="false" ht="15" hidden="false" customHeight="false" outlineLevel="0" collapsed="false">
      <c r="A101" s="7" t="s">
        <v>390</v>
      </c>
      <c r="B101" s="9" t="n">
        <v>36496</v>
      </c>
      <c r="C101" s="7" t="n">
        <v>21</v>
      </c>
      <c r="D101" s="9" t="n">
        <f aca="false">B101/C101</f>
        <v>1737.90476190476</v>
      </c>
      <c r="E101" s="7" t="n">
        <v>12</v>
      </c>
      <c r="F101" s="9" t="n">
        <v>94377</v>
      </c>
      <c r="G101" s="7" t="n">
        <v>18</v>
      </c>
      <c r="H101" s="7" t="str">
        <f aca="false">IF(B101&gt;=Assumptions!$B$5,"High Spenders",IF(E101&gt;=Assumptions!$B$6,"Frequent Users",IF(C101&lt;=Assumptions!$B$7,"Low Activity","Mid-Tier")))</f>
        <v>High Spenders</v>
      </c>
    </row>
    <row r="102" customFormat="false" ht="15" hidden="false" customHeight="false" outlineLevel="0" collapsed="false">
      <c r="A102" s="7" t="s">
        <v>391</v>
      </c>
      <c r="B102" s="9" t="n">
        <v>20603</v>
      </c>
      <c r="C102" s="7" t="n">
        <v>14</v>
      </c>
      <c r="D102" s="9" t="n">
        <f aca="false">B102/C102</f>
        <v>1471.64285714286</v>
      </c>
      <c r="E102" s="7" t="n">
        <v>16</v>
      </c>
      <c r="F102" s="9" t="n">
        <v>29192</v>
      </c>
      <c r="G102" s="7" t="n">
        <v>31</v>
      </c>
      <c r="H102" s="7" t="str">
        <f aca="false">IF(B102&gt;=Assumptions!$B$5,"High Spenders",IF(E102&gt;=Assumptions!$B$6,"Frequent Users",IF(C102&lt;=Assumptions!$B$7,"Low Activity","Mid-Tier")))</f>
        <v>Mid-Tier</v>
      </c>
    </row>
    <row r="103" customFormat="false" ht="15" hidden="false" customHeight="false" outlineLevel="0" collapsed="false">
      <c r="A103" s="7" t="s">
        <v>392</v>
      </c>
      <c r="B103" s="9" t="n">
        <v>14882</v>
      </c>
      <c r="C103" s="7" t="n">
        <v>31</v>
      </c>
      <c r="D103" s="9" t="n">
        <f aca="false">B103/C103</f>
        <v>480.064516129032</v>
      </c>
      <c r="E103" s="7" t="n">
        <v>24</v>
      </c>
      <c r="F103" s="9" t="n">
        <v>46542</v>
      </c>
      <c r="G103" s="7" t="n">
        <v>32</v>
      </c>
      <c r="H103" s="7" t="str">
        <f aca="false">IF(B103&gt;=Assumptions!$B$5,"High Spenders",IF(E103&gt;=Assumptions!$B$6,"Frequent Users",IF(C103&lt;=Assumptions!$B$7,"Low Activity","Mid-Tier")))</f>
        <v>Frequent Users</v>
      </c>
    </row>
    <row r="104" customFormat="false" ht="15" hidden="false" customHeight="false" outlineLevel="0" collapsed="false">
      <c r="A104" s="7" t="s">
        <v>393</v>
      </c>
      <c r="B104" s="9" t="n">
        <v>19255</v>
      </c>
      <c r="C104" s="7" t="n">
        <v>55</v>
      </c>
      <c r="D104" s="9" t="n">
        <f aca="false">B104/C104</f>
        <v>350.090909090909</v>
      </c>
      <c r="E104" s="7" t="n">
        <v>19</v>
      </c>
      <c r="F104" s="9" t="n">
        <v>42520</v>
      </c>
      <c r="G104" s="7" t="n">
        <v>11</v>
      </c>
      <c r="H104" s="7" t="str">
        <f aca="false">IF(B104&gt;=Assumptions!$B$5,"High Spenders",IF(E104&gt;=Assumptions!$B$6,"Frequent Users",IF(C104&lt;=Assumptions!$B$7,"Low Activity","Mid-Tier")))</f>
        <v>Mid-Tier</v>
      </c>
    </row>
    <row r="105" customFormat="false" ht="15" hidden="false" customHeight="false" outlineLevel="0" collapsed="false">
      <c r="A105" s="7" t="s">
        <v>394</v>
      </c>
      <c r="B105" s="9" t="n">
        <v>36159</v>
      </c>
      <c r="C105" s="7" t="n">
        <v>48</v>
      </c>
      <c r="D105" s="9" t="n">
        <f aca="false">B105/C105</f>
        <v>753.3125</v>
      </c>
      <c r="E105" s="7" t="n">
        <v>8</v>
      </c>
      <c r="F105" s="9" t="n">
        <v>64772</v>
      </c>
      <c r="G105" s="7" t="n">
        <v>25</v>
      </c>
      <c r="H105" s="7" t="str">
        <f aca="false">IF(B105&gt;=Assumptions!$B$5,"High Spenders",IF(E105&gt;=Assumptions!$B$6,"Frequent Users",IF(C105&lt;=Assumptions!$B$7,"Low Activity","Mid-Tier")))</f>
        <v>High Spenders</v>
      </c>
    </row>
    <row r="106" customFormat="false" ht="15" hidden="false" customHeight="false" outlineLevel="0" collapsed="false">
      <c r="A106" s="7" t="s">
        <v>395</v>
      </c>
      <c r="B106" s="9" t="n">
        <v>4256</v>
      </c>
      <c r="C106" s="7" t="n">
        <v>18</v>
      </c>
      <c r="D106" s="9" t="n">
        <f aca="false">B106/C106</f>
        <v>236.444444444444</v>
      </c>
      <c r="E106" s="7" t="n">
        <v>21</v>
      </c>
      <c r="F106" s="9" t="n">
        <v>58762</v>
      </c>
      <c r="G106" s="7" t="n">
        <v>33</v>
      </c>
      <c r="H106" s="7" t="str">
        <f aca="false">IF(B106&gt;=Assumptions!$B$5,"High Spenders",IF(E106&gt;=Assumptions!$B$6,"Frequent Users",IF(C106&lt;=Assumptions!$B$7,"Low Activity","Mid-Tier")))</f>
        <v>Mid-Tier</v>
      </c>
    </row>
    <row r="107" customFormat="false" ht="15" hidden="false" customHeight="false" outlineLevel="0" collapsed="false">
      <c r="A107" s="7" t="s">
        <v>396</v>
      </c>
      <c r="B107" s="9" t="n">
        <v>21109</v>
      </c>
      <c r="C107" s="7" t="n">
        <v>7</v>
      </c>
      <c r="D107" s="9" t="n">
        <f aca="false">B107/C107</f>
        <v>3015.57142857143</v>
      </c>
      <c r="E107" s="7" t="n">
        <v>17</v>
      </c>
      <c r="F107" s="9" t="n">
        <v>50106</v>
      </c>
      <c r="G107" s="7" t="n">
        <v>8</v>
      </c>
      <c r="H107" s="7" t="str">
        <f aca="false">IF(B107&gt;=Assumptions!$B$5,"High Spenders",IF(E107&gt;=Assumptions!$B$6,"Frequent Users",IF(C107&lt;=Assumptions!$B$7,"Low Activity","Mid-Tier")))</f>
        <v>Low Activity</v>
      </c>
    </row>
    <row r="108" customFormat="false" ht="15" hidden="false" customHeight="false" outlineLevel="0" collapsed="false">
      <c r="A108" s="7" t="s">
        <v>397</v>
      </c>
      <c r="B108" s="9" t="n">
        <v>49038</v>
      </c>
      <c r="C108" s="7" t="n">
        <v>10</v>
      </c>
      <c r="D108" s="9" t="n">
        <f aca="false">B108/C108</f>
        <v>4903.8</v>
      </c>
      <c r="E108" s="7" t="n">
        <v>23</v>
      </c>
      <c r="F108" s="9" t="n">
        <v>81121</v>
      </c>
      <c r="G108" s="7" t="n">
        <v>11</v>
      </c>
      <c r="H108" s="7" t="str">
        <f aca="false">IF(B108&gt;=Assumptions!$B$5,"High Spenders",IF(E108&gt;=Assumptions!$B$6,"Frequent Users",IF(C108&lt;=Assumptions!$B$7,"Low Activity","Mid-Tier")))</f>
        <v>High Spenders</v>
      </c>
    </row>
    <row r="109" customFormat="false" ht="15" hidden="false" customHeight="false" outlineLevel="0" collapsed="false">
      <c r="A109" s="7" t="s">
        <v>398</v>
      </c>
      <c r="B109" s="9" t="n">
        <v>16978</v>
      </c>
      <c r="C109" s="7" t="n">
        <v>7</v>
      </c>
      <c r="D109" s="9" t="n">
        <f aca="false">B109/C109</f>
        <v>2425.42857142857</v>
      </c>
      <c r="E109" s="7" t="n">
        <v>5</v>
      </c>
      <c r="F109" s="9" t="n">
        <v>25559</v>
      </c>
      <c r="G109" s="7" t="n">
        <v>22</v>
      </c>
      <c r="H109" s="7" t="str">
        <f aca="false">IF(B109&gt;=Assumptions!$B$5,"High Spenders",IF(E109&gt;=Assumptions!$B$6,"Frequent Users",IF(C109&lt;=Assumptions!$B$7,"Low Activity","Mid-Tier")))</f>
        <v>Low Activity</v>
      </c>
    </row>
    <row r="110" customFormat="false" ht="15" hidden="false" customHeight="false" outlineLevel="0" collapsed="false">
      <c r="A110" s="7" t="s">
        <v>399</v>
      </c>
      <c r="B110" s="9" t="n">
        <v>35942</v>
      </c>
      <c r="C110" s="7" t="n">
        <v>33</v>
      </c>
      <c r="D110" s="9" t="n">
        <f aca="false">B110/C110</f>
        <v>1089.15151515152</v>
      </c>
      <c r="E110" s="7" t="n">
        <v>22</v>
      </c>
      <c r="F110" s="9" t="n">
        <v>33742</v>
      </c>
      <c r="G110" s="7" t="n">
        <v>24</v>
      </c>
      <c r="H110" s="7" t="str">
        <f aca="false">IF(B110&gt;=Assumptions!$B$5,"High Spenders",IF(E110&gt;=Assumptions!$B$6,"Frequent Users",IF(C110&lt;=Assumptions!$B$7,"Low Activity","Mid-Tier")))</f>
        <v>High Spenders</v>
      </c>
    </row>
    <row r="111" customFormat="false" ht="15" hidden="false" customHeight="false" outlineLevel="0" collapsed="false">
      <c r="A111" s="7" t="s">
        <v>400</v>
      </c>
      <c r="B111" s="9" t="n">
        <v>40166</v>
      </c>
      <c r="C111" s="7" t="n">
        <v>23</v>
      </c>
      <c r="D111" s="9" t="n">
        <f aca="false">B111/C111</f>
        <v>1746.34782608696</v>
      </c>
      <c r="E111" s="7" t="n">
        <v>16</v>
      </c>
      <c r="F111" s="9" t="n">
        <v>69669</v>
      </c>
      <c r="G111" s="7" t="n">
        <v>17</v>
      </c>
      <c r="H111" s="7" t="str">
        <f aca="false">IF(B111&gt;=Assumptions!$B$5,"High Spenders",IF(E111&gt;=Assumptions!$B$6,"Frequent Users",IF(C111&lt;=Assumptions!$B$7,"Low Activity","Mid-Tier")))</f>
        <v>High Spenders</v>
      </c>
    </row>
    <row r="112" customFormat="false" ht="15" hidden="false" customHeight="false" outlineLevel="0" collapsed="false">
      <c r="A112" s="7" t="s">
        <v>401</v>
      </c>
      <c r="B112" s="9" t="n">
        <v>10647</v>
      </c>
      <c r="C112" s="7" t="n">
        <v>21</v>
      </c>
      <c r="D112" s="9" t="n">
        <f aca="false">B112/C112</f>
        <v>507</v>
      </c>
      <c r="E112" s="7" t="n">
        <v>6</v>
      </c>
      <c r="F112" s="9" t="n">
        <v>80199</v>
      </c>
      <c r="G112" s="7" t="n">
        <v>12</v>
      </c>
      <c r="H112" s="7" t="str">
        <f aca="false">IF(B112&gt;=Assumptions!$B$5,"High Spenders",IF(E112&gt;=Assumptions!$B$6,"Frequent Users",IF(C112&lt;=Assumptions!$B$7,"Low Activity","Mid-Tier")))</f>
        <v>Mid-Tier</v>
      </c>
    </row>
    <row r="113" customFormat="false" ht="15" hidden="false" customHeight="false" outlineLevel="0" collapsed="false">
      <c r="A113" s="7" t="s">
        <v>402</v>
      </c>
      <c r="B113" s="9" t="n">
        <v>34061</v>
      </c>
      <c r="C113" s="7" t="n">
        <v>19</v>
      </c>
      <c r="D113" s="9" t="n">
        <f aca="false">B113/C113</f>
        <v>1792.68421052632</v>
      </c>
      <c r="E113" s="7" t="n">
        <v>8</v>
      </c>
      <c r="F113" s="9" t="n">
        <v>21754</v>
      </c>
      <c r="G113" s="7" t="n">
        <v>32</v>
      </c>
      <c r="H113" s="7" t="str">
        <f aca="false">IF(B113&gt;=Assumptions!$B$5,"High Spenders",IF(E113&gt;=Assumptions!$B$6,"Frequent Users",IF(C113&lt;=Assumptions!$B$7,"Low Activity","Mid-Tier")))</f>
        <v>Mid-Tier</v>
      </c>
    </row>
    <row r="114" customFormat="false" ht="15" hidden="false" customHeight="false" outlineLevel="0" collapsed="false">
      <c r="A114" s="7" t="s">
        <v>403</v>
      </c>
      <c r="B114" s="9" t="n">
        <v>35384</v>
      </c>
      <c r="C114" s="7" t="n">
        <v>48</v>
      </c>
      <c r="D114" s="9" t="n">
        <f aca="false">B114/C114</f>
        <v>737.166666666667</v>
      </c>
      <c r="E114" s="7" t="n">
        <v>25</v>
      </c>
      <c r="F114" s="9" t="n">
        <v>3972</v>
      </c>
      <c r="G114" s="7" t="n">
        <v>15</v>
      </c>
      <c r="H114" s="7" t="str">
        <f aca="false">IF(B114&gt;=Assumptions!$B$5,"High Spenders",IF(E114&gt;=Assumptions!$B$6,"Frequent Users",IF(C114&lt;=Assumptions!$B$7,"Low Activity","Mid-Tier")))</f>
        <v>High Spenders</v>
      </c>
    </row>
    <row r="115" customFormat="false" ht="15" hidden="false" customHeight="false" outlineLevel="0" collapsed="false">
      <c r="A115" s="7" t="s">
        <v>404</v>
      </c>
      <c r="B115" s="9" t="n">
        <v>6279</v>
      </c>
      <c r="C115" s="7" t="n">
        <v>19</v>
      </c>
      <c r="D115" s="9" t="n">
        <f aca="false">B115/C115</f>
        <v>330.473684210526</v>
      </c>
      <c r="E115" s="7" t="n">
        <v>18</v>
      </c>
      <c r="F115" s="9" t="n">
        <v>70831</v>
      </c>
      <c r="G115" s="7" t="n">
        <v>16</v>
      </c>
      <c r="H115" s="7" t="str">
        <f aca="false">IF(B115&gt;=Assumptions!$B$5,"High Spenders",IF(E115&gt;=Assumptions!$B$6,"Frequent Users",IF(C115&lt;=Assumptions!$B$7,"Low Activity","Mid-Tier")))</f>
        <v>Mid-Tier</v>
      </c>
    </row>
    <row r="116" customFormat="false" ht="15" hidden="false" customHeight="false" outlineLevel="0" collapsed="false">
      <c r="A116" s="7" t="s">
        <v>405</v>
      </c>
      <c r="B116" s="9" t="n">
        <v>12798</v>
      </c>
      <c r="C116" s="7" t="n">
        <v>36</v>
      </c>
      <c r="D116" s="9" t="n">
        <f aca="false">B116/C116</f>
        <v>355.5</v>
      </c>
      <c r="E116" s="7" t="n">
        <v>25</v>
      </c>
      <c r="F116" s="9" t="n">
        <v>41873</v>
      </c>
      <c r="G116" s="7" t="n">
        <v>22</v>
      </c>
      <c r="H116" s="7" t="str">
        <f aca="false">IF(B116&gt;=Assumptions!$B$5,"High Spenders",IF(E116&gt;=Assumptions!$B$6,"Frequent Users",IF(C116&lt;=Assumptions!$B$7,"Low Activity","Mid-Tier")))</f>
        <v>Frequent Users</v>
      </c>
    </row>
    <row r="117" customFormat="false" ht="15" hidden="false" customHeight="false" outlineLevel="0" collapsed="false">
      <c r="A117" s="7" t="s">
        <v>406</v>
      </c>
      <c r="B117" s="9" t="n">
        <v>14653</v>
      </c>
      <c r="C117" s="7" t="n">
        <v>29</v>
      </c>
      <c r="D117" s="9" t="n">
        <f aca="false">B117/C117</f>
        <v>505.275862068966</v>
      </c>
      <c r="E117" s="7" t="n">
        <v>12</v>
      </c>
      <c r="F117" s="9" t="n">
        <v>94661</v>
      </c>
      <c r="G117" s="7" t="n">
        <v>28</v>
      </c>
      <c r="H117" s="7" t="str">
        <f aca="false">IF(B117&gt;=Assumptions!$B$5,"High Spenders",IF(E117&gt;=Assumptions!$B$6,"Frequent Users",IF(C117&lt;=Assumptions!$B$7,"Low Activity","Mid-Tier")))</f>
        <v>Mid-Tier</v>
      </c>
    </row>
    <row r="118" customFormat="false" ht="15" hidden="false" customHeight="false" outlineLevel="0" collapsed="false">
      <c r="A118" s="7" t="s">
        <v>407</v>
      </c>
      <c r="B118" s="9" t="n">
        <v>44379</v>
      </c>
      <c r="C118" s="7" t="n">
        <v>18</v>
      </c>
      <c r="D118" s="9" t="n">
        <f aca="false">B118/C118</f>
        <v>2465.5</v>
      </c>
      <c r="E118" s="7" t="n">
        <v>15</v>
      </c>
      <c r="F118" s="9" t="n">
        <v>9903</v>
      </c>
      <c r="G118" s="7" t="n">
        <v>20</v>
      </c>
      <c r="H118" s="7" t="str">
        <f aca="false">IF(B118&gt;=Assumptions!$B$5,"High Spenders",IF(E118&gt;=Assumptions!$B$6,"Frequent Users",IF(C118&lt;=Assumptions!$B$7,"Low Activity","Mid-Tier")))</f>
        <v>High Spenders</v>
      </c>
    </row>
    <row r="119" customFormat="false" ht="15" hidden="false" customHeight="false" outlineLevel="0" collapsed="false">
      <c r="A119" s="7" t="s">
        <v>408</v>
      </c>
      <c r="B119" s="9" t="n">
        <v>11289</v>
      </c>
      <c r="C119" s="7" t="n">
        <v>2</v>
      </c>
      <c r="D119" s="9" t="n">
        <f aca="false">B119/C119</f>
        <v>5644.5</v>
      </c>
      <c r="E119" s="7" t="n">
        <v>27</v>
      </c>
      <c r="F119" s="9" t="n">
        <v>3020</v>
      </c>
      <c r="G119" s="7" t="n">
        <v>33</v>
      </c>
      <c r="H119" s="7" t="str">
        <f aca="false">IF(B119&gt;=Assumptions!$B$5,"High Spenders",IF(E119&gt;=Assumptions!$B$6,"Frequent Users",IF(C119&lt;=Assumptions!$B$7,"Low Activity","Mid-Tier")))</f>
        <v>Frequent Users</v>
      </c>
    </row>
    <row r="120" customFormat="false" ht="15" hidden="false" customHeight="false" outlineLevel="0" collapsed="false">
      <c r="A120" s="7" t="s">
        <v>409</v>
      </c>
      <c r="B120" s="9" t="n">
        <v>44665</v>
      </c>
      <c r="C120" s="7" t="n">
        <v>1</v>
      </c>
      <c r="D120" s="9" t="n">
        <f aca="false">B120/C120</f>
        <v>44665</v>
      </c>
      <c r="E120" s="7" t="n">
        <v>26</v>
      </c>
      <c r="F120" s="9" t="n">
        <v>41755</v>
      </c>
      <c r="G120" s="7" t="n">
        <v>10</v>
      </c>
      <c r="H120" s="7" t="str">
        <f aca="false">IF(B120&gt;=Assumptions!$B$5,"High Spenders",IF(E120&gt;=Assumptions!$B$6,"Frequent Users",IF(C120&lt;=Assumptions!$B$7,"Low Activity","Mid-Tier")))</f>
        <v>High Spenders</v>
      </c>
    </row>
    <row r="121" customFormat="false" ht="15" hidden="false" customHeight="false" outlineLevel="0" collapsed="false">
      <c r="A121" s="7" t="s">
        <v>410</v>
      </c>
      <c r="B121" s="9" t="n">
        <v>13499</v>
      </c>
      <c r="C121" s="7" t="n">
        <v>47</v>
      </c>
      <c r="D121" s="9" t="n">
        <f aca="false">B121/C121</f>
        <v>287.212765957447</v>
      </c>
      <c r="E121" s="7" t="n">
        <v>9</v>
      </c>
      <c r="F121" s="9" t="n">
        <v>85956</v>
      </c>
      <c r="G121" s="7" t="n">
        <v>32</v>
      </c>
      <c r="H121" s="7" t="str">
        <f aca="false">IF(B121&gt;=Assumptions!$B$5,"High Spenders",IF(E121&gt;=Assumptions!$B$6,"Frequent Users",IF(C121&lt;=Assumptions!$B$7,"Low Activity","Mid-Tier")))</f>
        <v>Mid-Tier</v>
      </c>
    </row>
    <row r="122" customFormat="false" ht="15" hidden="false" customHeight="false" outlineLevel="0" collapsed="false">
      <c r="A122" s="7" t="s">
        <v>411</v>
      </c>
      <c r="B122" s="9" t="n">
        <v>1314</v>
      </c>
      <c r="C122" s="7" t="n">
        <v>5</v>
      </c>
      <c r="D122" s="9" t="n">
        <f aca="false">B122/C122</f>
        <v>262.8</v>
      </c>
      <c r="E122" s="7" t="n">
        <v>13</v>
      </c>
      <c r="F122" s="9" t="n">
        <v>86988</v>
      </c>
      <c r="G122" s="7" t="n">
        <v>33</v>
      </c>
      <c r="H122" s="7" t="str">
        <f aca="false">IF(B122&gt;=Assumptions!$B$5,"High Spenders",IF(E122&gt;=Assumptions!$B$6,"Frequent Users",IF(C122&lt;=Assumptions!$B$7,"Low Activity","Mid-Tier")))</f>
        <v>Low Activity</v>
      </c>
    </row>
    <row r="123" customFormat="false" ht="15" hidden="false" customHeight="false" outlineLevel="0" collapsed="false">
      <c r="A123" s="7" t="s">
        <v>412</v>
      </c>
      <c r="B123" s="9" t="n">
        <v>49997</v>
      </c>
      <c r="C123" s="7" t="n">
        <v>20</v>
      </c>
      <c r="D123" s="9" t="n">
        <f aca="false">B123/C123</f>
        <v>2499.85</v>
      </c>
      <c r="E123" s="7" t="n">
        <v>26</v>
      </c>
      <c r="F123" s="9" t="n">
        <v>45648</v>
      </c>
      <c r="G123" s="7" t="n">
        <v>2</v>
      </c>
      <c r="H123" s="7" t="str">
        <f aca="false">IF(B123&gt;=Assumptions!$B$5,"High Spenders",IF(E123&gt;=Assumptions!$B$6,"Frequent Users",IF(C123&lt;=Assumptions!$B$7,"Low Activity","Mid-Tier")))</f>
        <v>High Spenders</v>
      </c>
    </row>
    <row r="124" customFormat="false" ht="15" hidden="false" customHeight="false" outlineLevel="0" collapsed="false">
      <c r="A124" s="7" t="s">
        <v>413</v>
      </c>
      <c r="B124" s="9" t="n">
        <v>11041</v>
      </c>
      <c r="C124" s="7" t="n">
        <v>11</v>
      </c>
      <c r="D124" s="9" t="n">
        <f aca="false">B124/C124</f>
        <v>1003.72727272727</v>
      </c>
      <c r="E124" s="7" t="n">
        <v>15</v>
      </c>
      <c r="F124" s="9" t="n">
        <v>9516</v>
      </c>
      <c r="G124" s="7" t="n">
        <v>33</v>
      </c>
      <c r="H124" s="7" t="str">
        <f aca="false">IF(B124&gt;=Assumptions!$B$5,"High Spenders",IF(E124&gt;=Assumptions!$B$6,"Frequent Users",IF(C124&lt;=Assumptions!$B$7,"Low Activity","Mid-Tier")))</f>
        <v>Mid-Tier</v>
      </c>
    </row>
    <row r="125" customFormat="false" ht="15" hidden="false" customHeight="false" outlineLevel="0" collapsed="false">
      <c r="A125" s="7" t="s">
        <v>414</v>
      </c>
      <c r="B125" s="9" t="n">
        <v>25438</v>
      </c>
      <c r="C125" s="7" t="n">
        <v>42</v>
      </c>
      <c r="D125" s="9" t="n">
        <f aca="false">B125/C125</f>
        <v>605.666666666667</v>
      </c>
      <c r="E125" s="7" t="n">
        <v>10</v>
      </c>
      <c r="F125" s="9" t="n">
        <v>2396</v>
      </c>
      <c r="G125" s="7" t="n">
        <v>33</v>
      </c>
      <c r="H125" s="7" t="str">
        <f aca="false">IF(B125&gt;=Assumptions!$B$5,"High Spenders",IF(E125&gt;=Assumptions!$B$6,"Frequent Users",IF(C125&lt;=Assumptions!$B$7,"Low Activity","Mid-Tier")))</f>
        <v>Mid-Tier</v>
      </c>
    </row>
    <row r="126" customFormat="false" ht="15" hidden="false" customHeight="false" outlineLevel="0" collapsed="false">
      <c r="A126" s="7" t="s">
        <v>415</v>
      </c>
      <c r="B126" s="9" t="n">
        <v>2943</v>
      </c>
      <c r="C126" s="7" t="n">
        <v>2</v>
      </c>
      <c r="D126" s="9" t="n">
        <f aca="false">B126/C126</f>
        <v>1471.5</v>
      </c>
      <c r="E126" s="7" t="n">
        <v>16</v>
      </c>
      <c r="F126" s="9" t="n">
        <v>84082</v>
      </c>
      <c r="G126" s="7" t="n">
        <v>13</v>
      </c>
      <c r="H126" s="7" t="str">
        <f aca="false">IF(B126&gt;=Assumptions!$B$5,"High Spenders",IF(E126&gt;=Assumptions!$B$6,"Frequent Users",IF(C126&lt;=Assumptions!$B$7,"Low Activity","Mid-Tier")))</f>
        <v>Low Activity</v>
      </c>
    </row>
    <row r="127" customFormat="false" ht="15" hidden="false" customHeight="false" outlineLevel="0" collapsed="false">
      <c r="A127" s="7" t="s">
        <v>416</v>
      </c>
      <c r="B127" s="9" t="n">
        <v>10957</v>
      </c>
      <c r="C127" s="7" t="n">
        <v>3</v>
      </c>
      <c r="D127" s="9" t="n">
        <f aca="false">B127/C127</f>
        <v>3652.33333333333</v>
      </c>
      <c r="E127" s="7" t="n">
        <v>7</v>
      </c>
      <c r="F127" s="9" t="n">
        <v>19129</v>
      </c>
      <c r="G127" s="7" t="n">
        <v>30</v>
      </c>
      <c r="H127" s="7" t="str">
        <f aca="false">IF(B127&gt;=Assumptions!$B$5,"High Spenders",IF(E127&gt;=Assumptions!$B$6,"Frequent Users",IF(C127&lt;=Assumptions!$B$7,"Low Activity","Mid-Tier")))</f>
        <v>Low Activity</v>
      </c>
    </row>
    <row r="128" customFormat="false" ht="15" hidden="false" customHeight="false" outlineLevel="0" collapsed="false">
      <c r="A128" s="7" t="s">
        <v>417</v>
      </c>
      <c r="B128" s="9" t="n">
        <v>10880</v>
      </c>
      <c r="C128" s="7" t="n">
        <v>23</v>
      </c>
      <c r="D128" s="9" t="n">
        <f aca="false">B128/C128</f>
        <v>473.04347826087</v>
      </c>
      <c r="E128" s="7" t="n">
        <v>17</v>
      </c>
      <c r="F128" s="9" t="n">
        <v>1591</v>
      </c>
      <c r="G128" s="7" t="n">
        <v>33</v>
      </c>
      <c r="H128" s="7" t="str">
        <f aca="false">IF(B128&gt;=Assumptions!$B$5,"High Spenders",IF(E128&gt;=Assumptions!$B$6,"Frequent Users",IF(C128&lt;=Assumptions!$B$7,"Low Activity","Mid-Tier")))</f>
        <v>Mid-Tier</v>
      </c>
    </row>
    <row r="129" customFormat="false" ht="15" hidden="false" customHeight="false" outlineLevel="0" collapsed="false">
      <c r="A129" s="7" t="s">
        <v>418</v>
      </c>
      <c r="B129" s="9" t="n">
        <v>8283</v>
      </c>
      <c r="C129" s="7" t="n">
        <v>55</v>
      </c>
      <c r="D129" s="9" t="n">
        <f aca="false">B129/C129</f>
        <v>150.6</v>
      </c>
      <c r="E129" s="7" t="n">
        <v>23</v>
      </c>
      <c r="F129" s="9" t="n">
        <v>11303</v>
      </c>
      <c r="G129" s="7" t="n">
        <v>13</v>
      </c>
      <c r="H129" s="7" t="str">
        <f aca="false">IF(B129&gt;=Assumptions!$B$5,"High Spenders",IF(E129&gt;=Assumptions!$B$6,"Frequent Users",IF(C129&lt;=Assumptions!$B$7,"Low Activity","Mid-Tier")))</f>
        <v>Frequent Users</v>
      </c>
    </row>
    <row r="130" customFormat="false" ht="15" hidden="false" customHeight="false" outlineLevel="0" collapsed="false">
      <c r="A130" s="7" t="s">
        <v>419</v>
      </c>
      <c r="B130" s="9" t="n">
        <v>44741</v>
      </c>
      <c r="C130" s="7" t="n">
        <v>12</v>
      </c>
      <c r="D130" s="9" t="n">
        <f aca="false">B130/C130</f>
        <v>3728.41666666667</v>
      </c>
      <c r="E130" s="7" t="n">
        <v>26</v>
      </c>
      <c r="F130" s="9" t="n">
        <v>30561</v>
      </c>
      <c r="G130" s="7" t="n">
        <v>26</v>
      </c>
      <c r="H130" s="7" t="str">
        <f aca="false">IF(B130&gt;=Assumptions!$B$5,"High Spenders",IF(E130&gt;=Assumptions!$B$6,"Frequent Users",IF(C130&lt;=Assumptions!$B$7,"Low Activity","Mid-Tier")))</f>
        <v>High Spenders</v>
      </c>
    </row>
    <row r="131" customFormat="false" ht="15" hidden="false" customHeight="false" outlineLevel="0" collapsed="false">
      <c r="A131" s="7" t="s">
        <v>420</v>
      </c>
      <c r="B131" s="9" t="n">
        <v>17868</v>
      </c>
      <c r="C131" s="7" t="n">
        <v>20</v>
      </c>
      <c r="D131" s="9" t="n">
        <f aca="false">B131/C131</f>
        <v>893.4</v>
      </c>
      <c r="E131" s="7" t="n">
        <v>21</v>
      </c>
      <c r="F131" s="9" t="n">
        <v>71719</v>
      </c>
      <c r="G131" s="7" t="n">
        <v>22</v>
      </c>
      <c r="H131" s="7" t="str">
        <f aca="false">IF(B131&gt;=Assumptions!$B$5,"High Spenders",IF(E131&gt;=Assumptions!$B$6,"Frequent Users",IF(C131&lt;=Assumptions!$B$7,"Low Activity","Mid-Tier")))</f>
        <v>Mid-Tier</v>
      </c>
    </row>
    <row r="132" customFormat="false" ht="15" hidden="false" customHeight="false" outlineLevel="0" collapsed="false">
      <c r="A132" s="7" t="s">
        <v>421</v>
      </c>
      <c r="B132" s="9" t="n">
        <v>15828</v>
      </c>
      <c r="C132" s="7" t="n">
        <v>5</v>
      </c>
      <c r="D132" s="9" t="n">
        <f aca="false">B132/C132</f>
        <v>3165.6</v>
      </c>
      <c r="E132" s="7" t="n">
        <v>22</v>
      </c>
      <c r="F132" s="9" t="n">
        <v>92108</v>
      </c>
      <c r="G132" s="7" t="n">
        <v>2</v>
      </c>
      <c r="H132" s="7" t="str">
        <f aca="false">IF(B132&gt;=Assumptions!$B$5,"High Spenders",IF(E132&gt;=Assumptions!$B$6,"Frequent Users",IF(C132&lt;=Assumptions!$B$7,"Low Activity","Mid-Tier")))</f>
        <v>Low Activity</v>
      </c>
    </row>
    <row r="133" customFormat="false" ht="15" hidden="false" customHeight="false" outlineLevel="0" collapsed="false">
      <c r="A133" s="7" t="s">
        <v>422</v>
      </c>
      <c r="B133" s="9" t="n">
        <v>26715</v>
      </c>
      <c r="C133" s="7" t="n">
        <v>37</v>
      </c>
      <c r="D133" s="9" t="n">
        <f aca="false">B133/C133</f>
        <v>722.027027027027</v>
      </c>
      <c r="E133" s="7" t="n">
        <v>26</v>
      </c>
      <c r="F133" s="9" t="n">
        <v>99616</v>
      </c>
      <c r="G133" s="7" t="n">
        <v>26</v>
      </c>
      <c r="H133" s="7" t="str">
        <f aca="false">IF(B133&gt;=Assumptions!$B$5,"High Spenders",IF(E133&gt;=Assumptions!$B$6,"Frequent Users",IF(C133&lt;=Assumptions!$B$7,"Low Activity","Mid-Tier")))</f>
        <v>Frequent Users</v>
      </c>
    </row>
    <row r="134" customFormat="false" ht="15" hidden="false" customHeight="false" outlineLevel="0" collapsed="false">
      <c r="A134" s="7" t="s">
        <v>423</v>
      </c>
      <c r="B134" s="9" t="n">
        <v>34095</v>
      </c>
      <c r="C134" s="7" t="n">
        <v>38</v>
      </c>
      <c r="D134" s="9" t="n">
        <f aca="false">B134/C134</f>
        <v>897.236842105263</v>
      </c>
      <c r="E134" s="7" t="n">
        <v>7</v>
      </c>
      <c r="F134" s="9" t="n">
        <v>86231</v>
      </c>
      <c r="G134" s="7" t="n">
        <v>15</v>
      </c>
      <c r="H134" s="7" t="str">
        <f aca="false">IF(B134&gt;=Assumptions!$B$5,"High Spenders",IF(E134&gt;=Assumptions!$B$6,"Frequent Users",IF(C134&lt;=Assumptions!$B$7,"Low Activity","Mid-Tier")))</f>
        <v>Mid-Tier</v>
      </c>
    </row>
    <row r="135" customFormat="false" ht="15" hidden="false" customHeight="false" outlineLevel="0" collapsed="false">
      <c r="A135" s="7" t="s">
        <v>424</v>
      </c>
      <c r="B135" s="9" t="n">
        <v>27806</v>
      </c>
      <c r="C135" s="7" t="n">
        <v>30</v>
      </c>
      <c r="D135" s="9" t="n">
        <f aca="false">B135/C135</f>
        <v>926.866666666667</v>
      </c>
      <c r="E135" s="7" t="n">
        <v>14</v>
      </c>
      <c r="F135" s="9" t="n">
        <v>7314</v>
      </c>
      <c r="G135" s="7" t="n">
        <v>34</v>
      </c>
      <c r="H135" s="7" t="str">
        <f aca="false">IF(B135&gt;=Assumptions!$B$5,"High Spenders",IF(E135&gt;=Assumptions!$B$6,"Frequent Users",IF(C135&lt;=Assumptions!$B$7,"Low Activity","Mid-Tier")))</f>
        <v>Mid-Tier</v>
      </c>
    </row>
    <row r="136" customFormat="false" ht="15" hidden="false" customHeight="false" outlineLevel="0" collapsed="false">
      <c r="A136" s="7" t="s">
        <v>425</v>
      </c>
      <c r="B136" s="9" t="n">
        <v>20415</v>
      </c>
      <c r="C136" s="7" t="n">
        <v>9</v>
      </c>
      <c r="D136" s="9" t="n">
        <f aca="false">B136/C136</f>
        <v>2268.33333333333</v>
      </c>
      <c r="E136" s="7" t="n">
        <v>15</v>
      </c>
      <c r="F136" s="9" t="n">
        <v>19623</v>
      </c>
      <c r="G136" s="7" t="n">
        <v>11</v>
      </c>
      <c r="H136" s="7" t="str">
        <f aca="false">IF(B136&gt;=Assumptions!$B$5,"High Spenders",IF(E136&gt;=Assumptions!$B$6,"Frequent Users",IF(C136&lt;=Assumptions!$B$7,"Low Activity","Mid-Tier")))</f>
        <v>Low Activity</v>
      </c>
    </row>
    <row r="137" customFormat="false" ht="15" hidden="false" customHeight="false" outlineLevel="0" collapsed="false">
      <c r="A137" s="7" t="s">
        <v>426</v>
      </c>
      <c r="B137" s="9" t="n">
        <v>40415</v>
      </c>
      <c r="C137" s="7" t="n">
        <v>34</v>
      </c>
      <c r="D137" s="9" t="n">
        <f aca="false">B137/C137</f>
        <v>1188.67647058824</v>
      </c>
      <c r="E137" s="7" t="n">
        <v>21</v>
      </c>
      <c r="F137" s="9" t="n">
        <v>67675</v>
      </c>
      <c r="G137" s="7" t="n">
        <v>3</v>
      </c>
      <c r="H137" s="7" t="str">
        <f aca="false">IF(B137&gt;=Assumptions!$B$5,"High Spenders",IF(E137&gt;=Assumptions!$B$6,"Frequent Users",IF(C137&lt;=Assumptions!$B$7,"Low Activity","Mid-Tier")))</f>
        <v>High Spenders</v>
      </c>
    </row>
    <row r="138" customFormat="false" ht="15" hidden="false" customHeight="false" outlineLevel="0" collapsed="false">
      <c r="A138" s="7" t="s">
        <v>427</v>
      </c>
      <c r="B138" s="9" t="n">
        <v>37719</v>
      </c>
      <c r="C138" s="7" t="n">
        <v>53</v>
      </c>
      <c r="D138" s="9" t="n">
        <f aca="false">B138/C138</f>
        <v>711.679245283019</v>
      </c>
      <c r="E138" s="7" t="n">
        <v>7</v>
      </c>
      <c r="F138" s="9" t="n">
        <v>96826</v>
      </c>
      <c r="G138" s="7" t="n">
        <v>6</v>
      </c>
      <c r="H138" s="7" t="str">
        <f aca="false">IF(B138&gt;=Assumptions!$B$5,"High Spenders",IF(E138&gt;=Assumptions!$B$6,"Frequent Users",IF(C138&lt;=Assumptions!$B$7,"Low Activity","Mid-Tier")))</f>
        <v>High Spenders</v>
      </c>
    </row>
    <row r="139" customFormat="false" ht="15" hidden="false" customHeight="false" outlineLevel="0" collapsed="false">
      <c r="A139" s="7" t="s">
        <v>428</v>
      </c>
      <c r="B139" s="9" t="n">
        <v>15843</v>
      </c>
      <c r="C139" s="7" t="n">
        <v>44</v>
      </c>
      <c r="D139" s="9" t="n">
        <f aca="false">B139/C139</f>
        <v>360.068181818182</v>
      </c>
      <c r="E139" s="7" t="n">
        <v>9</v>
      </c>
      <c r="F139" s="9" t="n">
        <v>65082</v>
      </c>
      <c r="G139" s="7" t="n">
        <v>9</v>
      </c>
      <c r="H139" s="7" t="str">
        <f aca="false">IF(B139&gt;=Assumptions!$B$5,"High Spenders",IF(E139&gt;=Assumptions!$B$6,"Frequent Users",IF(C139&lt;=Assumptions!$B$7,"Low Activity","Mid-Tier")))</f>
        <v>Mid-Tier</v>
      </c>
    </row>
    <row r="140" customFormat="false" ht="15" hidden="false" customHeight="false" outlineLevel="0" collapsed="false">
      <c r="A140" s="7" t="s">
        <v>429</v>
      </c>
      <c r="B140" s="9" t="n">
        <v>46903</v>
      </c>
      <c r="C140" s="7" t="n">
        <v>35</v>
      </c>
      <c r="D140" s="9" t="n">
        <f aca="false">B140/C140</f>
        <v>1340.08571428571</v>
      </c>
      <c r="E140" s="7" t="n">
        <v>19</v>
      </c>
      <c r="F140" s="9" t="n">
        <v>83624</v>
      </c>
      <c r="G140" s="7" t="n">
        <v>6</v>
      </c>
      <c r="H140" s="7" t="str">
        <f aca="false">IF(B140&gt;=Assumptions!$B$5,"High Spenders",IF(E140&gt;=Assumptions!$B$6,"Frequent Users",IF(C140&lt;=Assumptions!$B$7,"Low Activity","Mid-Tier")))</f>
        <v>High Spenders</v>
      </c>
    </row>
    <row r="141" customFormat="false" ht="15" hidden="false" customHeight="false" outlineLevel="0" collapsed="false">
      <c r="A141" s="7" t="s">
        <v>430</v>
      </c>
      <c r="B141" s="9" t="n">
        <v>39227</v>
      </c>
      <c r="C141" s="7" t="n">
        <v>52</v>
      </c>
      <c r="D141" s="9" t="n">
        <f aca="false">B141/C141</f>
        <v>754.365384615385</v>
      </c>
      <c r="E141" s="7" t="n">
        <v>16</v>
      </c>
      <c r="F141" s="9" t="n">
        <v>33130</v>
      </c>
      <c r="G141" s="7" t="n">
        <v>9</v>
      </c>
      <c r="H141" s="7" t="str">
        <f aca="false">IF(B141&gt;=Assumptions!$B$5,"High Spenders",IF(E141&gt;=Assumptions!$B$6,"Frequent Users",IF(C141&lt;=Assumptions!$B$7,"Low Activity","Mid-Tier")))</f>
        <v>High Spenders</v>
      </c>
    </row>
    <row r="142" customFormat="false" ht="15" hidden="false" customHeight="false" outlineLevel="0" collapsed="false">
      <c r="A142" s="7" t="s">
        <v>431</v>
      </c>
      <c r="B142" s="9" t="n">
        <v>626</v>
      </c>
      <c r="C142" s="7" t="n">
        <v>58</v>
      </c>
      <c r="D142" s="9" t="n">
        <f aca="false">B142/C142</f>
        <v>10.7931034482759</v>
      </c>
      <c r="E142" s="7" t="n">
        <v>8</v>
      </c>
      <c r="F142" s="9" t="n">
        <v>51756</v>
      </c>
      <c r="G142" s="7" t="n">
        <v>31</v>
      </c>
      <c r="H142" s="7" t="str">
        <f aca="false">IF(B142&gt;=Assumptions!$B$5,"High Spenders",IF(E142&gt;=Assumptions!$B$6,"Frequent Users",IF(C142&lt;=Assumptions!$B$7,"Low Activity","Mid-Tier")))</f>
        <v>Mid-Tier</v>
      </c>
    </row>
    <row r="143" customFormat="false" ht="15" hidden="false" customHeight="false" outlineLevel="0" collapsed="false">
      <c r="A143" s="7" t="s">
        <v>432</v>
      </c>
      <c r="B143" s="9" t="n">
        <v>28132</v>
      </c>
      <c r="C143" s="7" t="n">
        <v>22</v>
      </c>
      <c r="D143" s="9" t="n">
        <f aca="false">B143/C143</f>
        <v>1278.72727272727</v>
      </c>
      <c r="E143" s="7" t="n">
        <v>18</v>
      </c>
      <c r="F143" s="9" t="n">
        <v>97624</v>
      </c>
      <c r="G143" s="7" t="n">
        <v>32</v>
      </c>
      <c r="H143" s="7" t="str">
        <f aca="false">IF(B143&gt;=Assumptions!$B$5,"High Spenders",IF(E143&gt;=Assumptions!$B$6,"Frequent Users",IF(C143&lt;=Assumptions!$B$7,"Low Activity","Mid-Tier")))</f>
        <v>Mid-Tier</v>
      </c>
    </row>
    <row r="144" customFormat="false" ht="15" hidden="false" customHeight="false" outlineLevel="0" collapsed="false">
      <c r="A144" s="7" t="s">
        <v>433</v>
      </c>
      <c r="B144" s="9" t="n">
        <v>42063</v>
      </c>
      <c r="C144" s="7" t="n">
        <v>44</v>
      </c>
      <c r="D144" s="9" t="n">
        <f aca="false">B144/C144</f>
        <v>955.977272727273</v>
      </c>
      <c r="E144" s="7" t="n">
        <v>27</v>
      </c>
      <c r="F144" s="9" t="n">
        <v>26292</v>
      </c>
      <c r="G144" s="7" t="n">
        <v>12</v>
      </c>
      <c r="H144" s="7" t="str">
        <f aca="false">IF(B144&gt;=Assumptions!$B$5,"High Spenders",IF(E144&gt;=Assumptions!$B$6,"Frequent Users",IF(C144&lt;=Assumptions!$B$7,"Low Activity","Mid-Tier")))</f>
        <v>High Spenders</v>
      </c>
    </row>
    <row r="145" customFormat="false" ht="15" hidden="false" customHeight="false" outlineLevel="0" collapsed="false">
      <c r="A145" s="7" t="s">
        <v>434</v>
      </c>
      <c r="B145" s="9" t="n">
        <v>44909</v>
      </c>
      <c r="C145" s="7" t="n">
        <v>24</v>
      </c>
      <c r="D145" s="9" t="n">
        <f aca="false">B145/C145</f>
        <v>1871.20833333333</v>
      </c>
      <c r="E145" s="7" t="n">
        <v>23</v>
      </c>
      <c r="F145" s="9" t="n">
        <v>86206</v>
      </c>
      <c r="G145" s="7" t="n">
        <v>8</v>
      </c>
      <c r="H145" s="7" t="str">
        <f aca="false">IF(B145&gt;=Assumptions!$B$5,"High Spenders",IF(E145&gt;=Assumptions!$B$6,"Frequent Users",IF(C145&lt;=Assumptions!$B$7,"Low Activity","Mid-Tier")))</f>
        <v>High Spenders</v>
      </c>
    </row>
    <row r="146" customFormat="false" ht="15" hidden="false" customHeight="false" outlineLevel="0" collapsed="false">
      <c r="A146" s="7" t="s">
        <v>435</v>
      </c>
      <c r="B146" s="9" t="n">
        <v>21030</v>
      </c>
      <c r="C146" s="7" t="n">
        <v>17</v>
      </c>
      <c r="D146" s="9" t="n">
        <f aca="false">B146/C146</f>
        <v>1237.05882352941</v>
      </c>
      <c r="E146" s="7" t="n">
        <v>29</v>
      </c>
      <c r="F146" s="9" t="n">
        <v>69274</v>
      </c>
      <c r="G146" s="7" t="n">
        <v>8</v>
      </c>
      <c r="H146" s="7" t="str">
        <f aca="false">IF(B146&gt;=Assumptions!$B$5,"High Spenders",IF(E146&gt;=Assumptions!$B$6,"Frequent Users",IF(C146&lt;=Assumptions!$B$7,"Low Activity","Mid-Tier")))</f>
        <v>Frequent Users</v>
      </c>
    </row>
    <row r="147" customFormat="false" ht="15" hidden="false" customHeight="false" outlineLevel="0" collapsed="false">
      <c r="A147" s="7" t="s">
        <v>436</v>
      </c>
      <c r="B147" s="9" t="n">
        <v>40464</v>
      </c>
      <c r="C147" s="7" t="n">
        <v>10</v>
      </c>
      <c r="D147" s="9" t="n">
        <f aca="false">B147/C147</f>
        <v>4046.4</v>
      </c>
      <c r="E147" s="7" t="n">
        <v>18</v>
      </c>
      <c r="F147" s="9" t="n">
        <v>2469</v>
      </c>
      <c r="G147" s="7" t="n">
        <v>28</v>
      </c>
      <c r="H147" s="7" t="str">
        <f aca="false">IF(B147&gt;=Assumptions!$B$5,"High Spenders",IF(E147&gt;=Assumptions!$B$6,"Frequent Users",IF(C147&lt;=Assumptions!$B$7,"Low Activity","Mid-Tier")))</f>
        <v>High Spenders</v>
      </c>
    </row>
    <row r="148" customFormat="false" ht="15" hidden="false" customHeight="false" outlineLevel="0" collapsed="false">
      <c r="A148" s="7" t="s">
        <v>437</v>
      </c>
      <c r="B148" s="9" t="n">
        <v>44827</v>
      </c>
      <c r="C148" s="7" t="n">
        <v>30</v>
      </c>
      <c r="D148" s="9" t="n">
        <f aca="false">B148/C148</f>
        <v>1494.23333333333</v>
      </c>
      <c r="E148" s="7" t="n">
        <v>20</v>
      </c>
      <c r="F148" s="9" t="n">
        <v>53947</v>
      </c>
      <c r="G148" s="7" t="n">
        <v>20</v>
      </c>
      <c r="H148" s="7" t="str">
        <f aca="false">IF(B148&gt;=Assumptions!$B$5,"High Spenders",IF(E148&gt;=Assumptions!$B$6,"Frequent Users",IF(C148&lt;=Assumptions!$B$7,"Low Activity","Mid-Tier")))</f>
        <v>High Spenders</v>
      </c>
    </row>
    <row r="149" customFormat="false" ht="15" hidden="false" customHeight="false" outlineLevel="0" collapsed="false">
      <c r="A149" s="7" t="s">
        <v>438</v>
      </c>
      <c r="B149" s="9" t="n">
        <v>3868</v>
      </c>
      <c r="C149" s="7" t="n">
        <v>56</v>
      </c>
      <c r="D149" s="9" t="n">
        <f aca="false">B149/C149</f>
        <v>69.0714285714286</v>
      </c>
      <c r="E149" s="7" t="n">
        <v>7</v>
      </c>
      <c r="F149" s="9" t="n">
        <v>22534</v>
      </c>
      <c r="G149" s="7" t="n">
        <v>7</v>
      </c>
      <c r="H149" s="7" t="str">
        <f aca="false">IF(B149&gt;=Assumptions!$B$5,"High Spenders",IF(E149&gt;=Assumptions!$B$6,"Frequent Users",IF(C149&lt;=Assumptions!$B$7,"Low Activity","Mid-Tier")))</f>
        <v>Mid-Tier</v>
      </c>
    </row>
    <row r="150" customFormat="false" ht="15" hidden="false" customHeight="false" outlineLevel="0" collapsed="false">
      <c r="A150" s="7" t="s">
        <v>439</v>
      </c>
      <c r="B150" s="9" t="n">
        <v>4297</v>
      </c>
      <c r="C150" s="7" t="n">
        <v>59</v>
      </c>
      <c r="D150" s="9" t="n">
        <f aca="false">B150/C150</f>
        <v>72.8305084745763</v>
      </c>
      <c r="E150" s="7" t="n">
        <v>3</v>
      </c>
      <c r="F150" s="9" t="n">
        <v>63620</v>
      </c>
      <c r="G150" s="7" t="n">
        <v>11</v>
      </c>
      <c r="H150" s="7" t="str">
        <f aca="false">IF(B150&gt;=Assumptions!$B$5,"High Spenders",IF(E150&gt;=Assumptions!$B$6,"Frequent Users",IF(C150&lt;=Assumptions!$B$7,"Low Activity","Mid-Tier")))</f>
        <v>Mid-Tier</v>
      </c>
    </row>
    <row r="151" customFormat="false" ht="15" hidden="false" customHeight="false" outlineLevel="0" collapsed="false">
      <c r="A151" s="7" t="s">
        <v>440</v>
      </c>
      <c r="B151" s="9" t="n">
        <v>48382</v>
      </c>
      <c r="C151" s="7" t="n">
        <v>46</v>
      </c>
      <c r="D151" s="9" t="n">
        <f aca="false">B151/C151</f>
        <v>1051.78260869565</v>
      </c>
      <c r="E151" s="7" t="n">
        <v>18</v>
      </c>
      <c r="F151" s="9" t="n">
        <v>48874</v>
      </c>
      <c r="G151" s="7" t="n">
        <v>20</v>
      </c>
      <c r="H151" s="7" t="str">
        <f aca="false">IF(B151&gt;=Assumptions!$B$5,"High Spenders",IF(E151&gt;=Assumptions!$B$6,"Frequent Users",IF(C151&lt;=Assumptions!$B$7,"Low Activity","Mid-Tier")))</f>
        <v>High Spenders</v>
      </c>
    </row>
    <row r="152" customFormat="false" ht="15" hidden="false" customHeight="false" outlineLevel="0" collapsed="false">
      <c r="A152" s="7" t="s">
        <v>441</v>
      </c>
      <c r="B152" s="9" t="n">
        <v>14218</v>
      </c>
      <c r="C152" s="7" t="n">
        <v>23</v>
      </c>
      <c r="D152" s="9" t="n">
        <f aca="false">B152/C152</f>
        <v>618.173913043478</v>
      </c>
      <c r="E152" s="7" t="n">
        <v>27</v>
      </c>
      <c r="F152" s="9" t="n">
        <v>49708</v>
      </c>
      <c r="G152" s="7" t="n">
        <v>16</v>
      </c>
      <c r="H152" s="7" t="str">
        <f aca="false">IF(B152&gt;=Assumptions!$B$5,"High Spenders",IF(E152&gt;=Assumptions!$B$6,"Frequent Users",IF(C152&lt;=Assumptions!$B$7,"Low Activity","Mid-Tier")))</f>
        <v>Frequent Users</v>
      </c>
    </row>
    <row r="153" customFormat="false" ht="15" hidden="false" customHeight="false" outlineLevel="0" collapsed="false">
      <c r="A153" s="7" t="s">
        <v>442</v>
      </c>
      <c r="B153" s="9" t="n">
        <v>35060</v>
      </c>
      <c r="C153" s="7" t="n">
        <v>32</v>
      </c>
      <c r="D153" s="9" t="n">
        <f aca="false">B153/C153</f>
        <v>1095.625</v>
      </c>
      <c r="E153" s="7" t="n">
        <v>10</v>
      </c>
      <c r="F153" s="9" t="n">
        <v>74553</v>
      </c>
      <c r="G153" s="7" t="n">
        <v>4</v>
      </c>
      <c r="H153" s="7" t="str">
        <f aca="false">IF(B153&gt;=Assumptions!$B$5,"High Spenders",IF(E153&gt;=Assumptions!$B$6,"Frequent Users",IF(C153&lt;=Assumptions!$B$7,"Low Activity","Mid-Tier")))</f>
        <v>High Spenders</v>
      </c>
    </row>
    <row r="154" customFormat="false" ht="15" hidden="false" customHeight="false" outlineLevel="0" collapsed="false">
      <c r="A154" s="7" t="s">
        <v>443</v>
      </c>
      <c r="B154" s="9" t="n">
        <v>11553</v>
      </c>
      <c r="C154" s="7" t="n">
        <v>17</v>
      </c>
      <c r="D154" s="9" t="n">
        <f aca="false">B154/C154</f>
        <v>679.588235294118</v>
      </c>
      <c r="E154" s="7" t="n">
        <v>7</v>
      </c>
      <c r="F154" s="9" t="n">
        <v>68344</v>
      </c>
      <c r="G154" s="7" t="n">
        <v>6</v>
      </c>
      <c r="H154" s="7" t="str">
        <f aca="false">IF(B154&gt;=Assumptions!$B$5,"High Spenders",IF(E154&gt;=Assumptions!$B$6,"Frequent Users",IF(C154&lt;=Assumptions!$B$7,"Low Activity","Mid-Tier")))</f>
        <v>Mid-Tier</v>
      </c>
    </row>
    <row r="155" customFormat="false" ht="15" hidden="false" customHeight="false" outlineLevel="0" collapsed="false">
      <c r="A155" s="7" t="s">
        <v>444</v>
      </c>
      <c r="B155" s="9" t="n">
        <v>22616</v>
      </c>
      <c r="C155" s="7" t="n">
        <v>50</v>
      </c>
      <c r="D155" s="9" t="n">
        <f aca="false">B155/C155</f>
        <v>452.32</v>
      </c>
      <c r="E155" s="7" t="n">
        <v>17</v>
      </c>
      <c r="F155" s="9" t="n">
        <v>49138</v>
      </c>
      <c r="G155" s="7" t="n">
        <v>22</v>
      </c>
      <c r="H155" s="7" t="str">
        <f aca="false">IF(B155&gt;=Assumptions!$B$5,"High Spenders",IF(E155&gt;=Assumptions!$B$6,"Frequent Users",IF(C155&lt;=Assumptions!$B$7,"Low Activity","Mid-Tier")))</f>
        <v>Mid-Tier</v>
      </c>
    </row>
    <row r="156" customFormat="false" ht="15" hidden="false" customHeight="false" outlineLevel="0" collapsed="false">
      <c r="A156" s="7" t="s">
        <v>445</v>
      </c>
      <c r="B156" s="9" t="n">
        <v>36744</v>
      </c>
      <c r="C156" s="7" t="n">
        <v>51</v>
      </c>
      <c r="D156" s="9" t="n">
        <f aca="false">B156/C156</f>
        <v>720.470588235294</v>
      </c>
      <c r="E156" s="7" t="n">
        <v>14</v>
      </c>
      <c r="F156" s="9" t="n">
        <v>54302</v>
      </c>
      <c r="G156" s="7" t="n">
        <v>26</v>
      </c>
      <c r="H156" s="7" t="str">
        <f aca="false">IF(B156&gt;=Assumptions!$B$5,"High Spenders",IF(E156&gt;=Assumptions!$B$6,"Frequent Users",IF(C156&lt;=Assumptions!$B$7,"Low Activity","Mid-Tier")))</f>
        <v>High Spenders</v>
      </c>
    </row>
    <row r="157" customFormat="false" ht="15" hidden="false" customHeight="false" outlineLevel="0" collapsed="false">
      <c r="A157" s="7" t="s">
        <v>446</v>
      </c>
      <c r="B157" s="9" t="n">
        <v>36685</v>
      </c>
      <c r="C157" s="7" t="n">
        <v>17</v>
      </c>
      <c r="D157" s="9" t="n">
        <f aca="false">B157/C157</f>
        <v>2157.94117647059</v>
      </c>
      <c r="E157" s="7" t="n">
        <v>24</v>
      </c>
      <c r="F157" s="9" t="n">
        <v>47638</v>
      </c>
      <c r="G157" s="7" t="n">
        <v>3</v>
      </c>
      <c r="H157" s="7" t="str">
        <f aca="false">IF(B157&gt;=Assumptions!$B$5,"High Spenders",IF(E157&gt;=Assumptions!$B$6,"Frequent Users",IF(C157&lt;=Assumptions!$B$7,"Low Activity","Mid-Tier")))</f>
        <v>High Spenders</v>
      </c>
    </row>
    <row r="158" customFormat="false" ht="15" hidden="false" customHeight="false" outlineLevel="0" collapsed="false">
      <c r="A158" s="7" t="s">
        <v>447</v>
      </c>
      <c r="B158" s="9" t="n">
        <v>2145</v>
      </c>
      <c r="C158" s="7" t="n">
        <v>14</v>
      </c>
      <c r="D158" s="9" t="n">
        <f aca="false">B158/C158</f>
        <v>153.214285714286</v>
      </c>
      <c r="E158" s="7" t="n">
        <v>3</v>
      </c>
      <c r="F158" s="9" t="n">
        <v>78249</v>
      </c>
      <c r="G158" s="7" t="n">
        <v>14</v>
      </c>
      <c r="H158" s="7" t="str">
        <f aca="false">IF(B158&gt;=Assumptions!$B$5,"High Spenders",IF(E158&gt;=Assumptions!$B$6,"Frequent Users",IF(C158&lt;=Assumptions!$B$7,"Low Activity","Mid-Tier")))</f>
        <v>Mid-Tier</v>
      </c>
    </row>
    <row r="159" customFormat="false" ht="15" hidden="false" customHeight="false" outlineLevel="0" collapsed="false">
      <c r="A159" s="7" t="s">
        <v>448</v>
      </c>
      <c r="B159" s="9" t="n">
        <v>48023</v>
      </c>
      <c r="C159" s="7" t="n">
        <v>9</v>
      </c>
      <c r="D159" s="9" t="n">
        <f aca="false">B159/C159</f>
        <v>5335.88888888889</v>
      </c>
      <c r="E159" s="7" t="n">
        <v>12</v>
      </c>
      <c r="F159" s="9" t="n">
        <v>2719</v>
      </c>
      <c r="G159" s="7" t="n">
        <v>11</v>
      </c>
      <c r="H159" s="7" t="str">
        <f aca="false">IF(B159&gt;=Assumptions!$B$5,"High Spenders",IF(E159&gt;=Assumptions!$B$6,"Frequent Users",IF(C159&lt;=Assumptions!$B$7,"Low Activity","Mid-Tier")))</f>
        <v>High Spenders</v>
      </c>
    </row>
    <row r="160" customFormat="false" ht="15" hidden="false" customHeight="false" outlineLevel="0" collapsed="false">
      <c r="A160" s="7" t="s">
        <v>449</v>
      </c>
      <c r="B160" s="9" t="n">
        <v>19756</v>
      </c>
      <c r="C160" s="7" t="n">
        <v>40</v>
      </c>
      <c r="D160" s="9" t="n">
        <f aca="false">B160/C160</f>
        <v>493.9</v>
      </c>
      <c r="E160" s="7" t="n">
        <v>28</v>
      </c>
      <c r="F160" s="9" t="n">
        <v>22890</v>
      </c>
      <c r="G160" s="7" t="n">
        <v>18</v>
      </c>
      <c r="H160" s="7" t="str">
        <f aca="false">IF(B160&gt;=Assumptions!$B$5,"High Spenders",IF(E160&gt;=Assumptions!$B$6,"Frequent Users",IF(C160&lt;=Assumptions!$B$7,"Low Activity","Mid-Tier")))</f>
        <v>Frequent Users</v>
      </c>
    </row>
    <row r="161" customFormat="false" ht="15" hidden="false" customHeight="false" outlineLevel="0" collapsed="false">
      <c r="A161" s="7" t="s">
        <v>450</v>
      </c>
      <c r="B161" s="9" t="n">
        <v>36340</v>
      </c>
      <c r="C161" s="7" t="n">
        <v>2</v>
      </c>
      <c r="D161" s="9" t="n">
        <f aca="false">B161/C161</f>
        <v>18170</v>
      </c>
      <c r="E161" s="7" t="n">
        <v>13</v>
      </c>
      <c r="F161" s="9" t="n">
        <v>77236</v>
      </c>
      <c r="G161" s="7" t="n">
        <v>12</v>
      </c>
      <c r="H161" s="7" t="str">
        <f aca="false">IF(B161&gt;=Assumptions!$B$5,"High Spenders",IF(E161&gt;=Assumptions!$B$6,"Frequent Users",IF(C161&lt;=Assumptions!$B$7,"Low Activity","Mid-Tier")))</f>
        <v>High Spenders</v>
      </c>
    </row>
    <row r="162" customFormat="false" ht="15" hidden="false" customHeight="false" outlineLevel="0" collapsed="false">
      <c r="A162" s="7" t="s">
        <v>451</v>
      </c>
      <c r="B162" s="9" t="n">
        <v>35122</v>
      </c>
      <c r="C162" s="7" t="n">
        <v>45</v>
      </c>
      <c r="D162" s="9" t="n">
        <f aca="false">B162/C162</f>
        <v>780.488888888889</v>
      </c>
      <c r="E162" s="7" t="n">
        <v>2</v>
      </c>
      <c r="F162" s="9" t="n">
        <v>36509</v>
      </c>
      <c r="G162" s="7" t="n">
        <v>23</v>
      </c>
      <c r="H162" s="7" t="str">
        <f aca="false">IF(B162&gt;=Assumptions!$B$5,"High Spenders",IF(E162&gt;=Assumptions!$B$6,"Frequent Users",IF(C162&lt;=Assumptions!$B$7,"Low Activity","Mid-Tier")))</f>
        <v>High Spenders</v>
      </c>
    </row>
    <row r="163" customFormat="false" ht="15" hidden="false" customHeight="false" outlineLevel="0" collapsed="false">
      <c r="A163" s="7" t="s">
        <v>452</v>
      </c>
      <c r="B163" s="9" t="n">
        <v>37930</v>
      </c>
      <c r="C163" s="7" t="n">
        <v>25</v>
      </c>
      <c r="D163" s="9" t="n">
        <f aca="false">B163/C163</f>
        <v>1517.2</v>
      </c>
      <c r="E163" s="7" t="n">
        <v>3</v>
      </c>
      <c r="F163" s="9" t="n">
        <v>42534</v>
      </c>
      <c r="G163" s="7" t="n">
        <v>12</v>
      </c>
      <c r="H163" s="7" t="str">
        <f aca="false">IF(B163&gt;=Assumptions!$B$5,"High Spenders",IF(E163&gt;=Assumptions!$B$6,"Frequent Users",IF(C163&lt;=Assumptions!$B$7,"Low Activity","Mid-Tier")))</f>
        <v>High Spenders</v>
      </c>
    </row>
    <row r="164" customFormat="false" ht="15" hidden="false" customHeight="false" outlineLevel="0" collapsed="false">
      <c r="A164" s="7" t="s">
        <v>453</v>
      </c>
      <c r="B164" s="9" t="n">
        <v>39782</v>
      </c>
      <c r="C164" s="7" t="n">
        <v>39</v>
      </c>
      <c r="D164" s="9" t="n">
        <f aca="false">B164/C164</f>
        <v>1020.05128205128</v>
      </c>
      <c r="E164" s="7" t="n">
        <v>5</v>
      </c>
      <c r="F164" s="9" t="n">
        <v>92241</v>
      </c>
      <c r="G164" s="7" t="n">
        <v>13</v>
      </c>
      <c r="H164" s="7" t="str">
        <f aca="false">IF(B164&gt;=Assumptions!$B$5,"High Spenders",IF(E164&gt;=Assumptions!$B$6,"Frequent Users",IF(C164&lt;=Assumptions!$B$7,"Low Activity","Mid-Tier")))</f>
        <v>High Spenders</v>
      </c>
    </row>
    <row r="165" customFormat="false" ht="15" hidden="false" customHeight="false" outlineLevel="0" collapsed="false">
      <c r="A165" s="7" t="s">
        <v>454</v>
      </c>
      <c r="B165" s="9" t="n">
        <v>3208</v>
      </c>
      <c r="C165" s="7" t="n">
        <v>9</v>
      </c>
      <c r="D165" s="9" t="n">
        <f aca="false">B165/C165</f>
        <v>356.444444444444</v>
      </c>
      <c r="E165" s="7" t="n">
        <v>11</v>
      </c>
      <c r="F165" s="9" t="n">
        <v>18787</v>
      </c>
      <c r="G165" s="7" t="n">
        <v>25</v>
      </c>
      <c r="H165" s="7" t="str">
        <f aca="false">IF(B165&gt;=Assumptions!$B$5,"High Spenders",IF(E165&gt;=Assumptions!$B$6,"Frequent Users",IF(C165&lt;=Assumptions!$B$7,"Low Activity","Mid-Tier")))</f>
        <v>Low Activity</v>
      </c>
    </row>
    <row r="166" customFormat="false" ht="15" hidden="false" customHeight="false" outlineLevel="0" collapsed="false">
      <c r="A166" s="7" t="s">
        <v>455</v>
      </c>
      <c r="B166" s="9" t="n">
        <v>12194</v>
      </c>
      <c r="C166" s="7" t="n">
        <v>54</v>
      </c>
      <c r="D166" s="9" t="n">
        <f aca="false">B166/C166</f>
        <v>225.814814814815</v>
      </c>
      <c r="E166" s="7" t="n">
        <v>8</v>
      </c>
      <c r="F166" s="9" t="n">
        <v>48845</v>
      </c>
      <c r="G166" s="7" t="n">
        <v>19</v>
      </c>
      <c r="H166" s="7" t="str">
        <f aca="false">IF(B166&gt;=Assumptions!$B$5,"High Spenders",IF(E166&gt;=Assumptions!$B$6,"Frequent Users",IF(C166&lt;=Assumptions!$B$7,"Low Activity","Mid-Tier")))</f>
        <v>Mid-Tier</v>
      </c>
    </row>
    <row r="167" customFormat="false" ht="15" hidden="false" customHeight="false" outlineLevel="0" collapsed="false">
      <c r="A167" s="7" t="s">
        <v>456</v>
      </c>
      <c r="B167" s="9" t="n">
        <v>10024</v>
      </c>
      <c r="C167" s="7" t="n">
        <v>22</v>
      </c>
      <c r="D167" s="9" t="n">
        <f aca="false">B167/C167</f>
        <v>455.636363636364</v>
      </c>
      <c r="E167" s="7" t="n">
        <v>26</v>
      </c>
      <c r="F167" s="9" t="n">
        <v>57932</v>
      </c>
      <c r="G167" s="7" t="n">
        <v>8</v>
      </c>
      <c r="H167" s="7" t="str">
        <f aca="false">IF(B167&gt;=Assumptions!$B$5,"High Spenders",IF(E167&gt;=Assumptions!$B$6,"Frequent Users",IF(C167&lt;=Assumptions!$B$7,"Low Activity","Mid-Tier")))</f>
        <v>Frequent Users</v>
      </c>
    </row>
    <row r="168" customFormat="false" ht="15" hidden="false" customHeight="false" outlineLevel="0" collapsed="false">
      <c r="A168" s="7" t="s">
        <v>457</v>
      </c>
      <c r="B168" s="9" t="n">
        <v>32380</v>
      </c>
      <c r="C168" s="7" t="n">
        <v>43</v>
      </c>
      <c r="D168" s="9" t="n">
        <f aca="false">B168/C168</f>
        <v>753.023255813954</v>
      </c>
      <c r="E168" s="7" t="n">
        <v>23</v>
      </c>
      <c r="F168" s="9" t="n">
        <v>92124</v>
      </c>
      <c r="G168" s="7" t="n">
        <v>29</v>
      </c>
      <c r="H168" s="7" t="str">
        <f aca="false">IF(B168&gt;=Assumptions!$B$5,"High Spenders",IF(E168&gt;=Assumptions!$B$6,"Frequent Users",IF(C168&lt;=Assumptions!$B$7,"Low Activity","Mid-Tier")))</f>
        <v>Frequent Users</v>
      </c>
    </row>
    <row r="169" customFormat="false" ht="15" hidden="false" customHeight="false" outlineLevel="0" collapsed="false">
      <c r="A169" s="7" t="s">
        <v>458</v>
      </c>
      <c r="B169" s="9" t="n">
        <v>39724</v>
      </c>
      <c r="C169" s="7" t="n">
        <v>46</v>
      </c>
      <c r="D169" s="9" t="n">
        <f aca="false">B169/C169</f>
        <v>863.565217391304</v>
      </c>
      <c r="E169" s="7" t="n">
        <v>23</v>
      </c>
      <c r="F169" s="9" t="n">
        <v>91659</v>
      </c>
      <c r="G169" s="7" t="n">
        <v>32</v>
      </c>
      <c r="H169" s="7" t="str">
        <f aca="false">IF(B169&gt;=Assumptions!$B$5,"High Spenders",IF(E169&gt;=Assumptions!$B$6,"Frequent Users",IF(C169&lt;=Assumptions!$B$7,"Low Activity","Mid-Tier")))</f>
        <v>High Spenders</v>
      </c>
    </row>
    <row r="170" customFormat="false" ht="15" hidden="false" customHeight="false" outlineLevel="0" collapsed="false">
      <c r="A170" s="7" t="s">
        <v>459</v>
      </c>
      <c r="B170" s="9" t="n">
        <v>37480</v>
      </c>
      <c r="C170" s="7" t="n">
        <v>4</v>
      </c>
      <c r="D170" s="9" t="n">
        <f aca="false">B170/C170</f>
        <v>9370</v>
      </c>
      <c r="E170" s="7" t="n">
        <v>12</v>
      </c>
      <c r="F170" s="9" t="n">
        <v>33062</v>
      </c>
      <c r="G170" s="7" t="n">
        <v>18</v>
      </c>
      <c r="H170" s="7" t="str">
        <f aca="false">IF(B170&gt;=Assumptions!$B$5,"High Spenders",IF(E170&gt;=Assumptions!$B$6,"Frequent Users",IF(C170&lt;=Assumptions!$B$7,"Low Activity","Mid-Tier")))</f>
        <v>High Spenders</v>
      </c>
    </row>
    <row r="171" customFormat="false" ht="15" hidden="false" customHeight="false" outlineLevel="0" collapsed="false">
      <c r="A171" s="7" t="s">
        <v>460</v>
      </c>
      <c r="B171" s="9" t="n">
        <v>32909</v>
      </c>
      <c r="C171" s="7" t="n">
        <v>26</v>
      </c>
      <c r="D171" s="9" t="n">
        <f aca="false">B171/C171</f>
        <v>1265.73076923077</v>
      </c>
      <c r="E171" s="7" t="n">
        <v>7</v>
      </c>
      <c r="F171" s="9" t="n">
        <v>75713</v>
      </c>
      <c r="G171" s="7" t="n">
        <v>6</v>
      </c>
      <c r="H171" s="7" t="str">
        <f aca="false">IF(B171&gt;=Assumptions!$B$5,"High Spenders",IF(E171&gt;=Assumptions!$B$6,"Frequent Users",IF(C171&lt;=Assumptions!$B$7,"Low Activity","Mid-Tier")))</f>
        <v>Mid-Tier</v>
      </c>
    </row>
    <row r="172" customFormat="false" ht="15" hidden="false" customHeight="false" outlineLevel="0" collapsed="false">
      <c r="A172" s="7" t="s">
        <v>461</v>
      </c>
      <c r="B172" s="9" t="n">
        <v>13724</v>
      </c>
      <c r="C172" s="7" t="n">
        <v>58</v>
      </c>
      <c r="D172" s="9" t="n">
        <f aca="false">B172/C172</f>
        <v>236.620689655172</v>
      </c>
      <c r="E172" s="7" t="n">
        <v>15</v>
      </c>
      <c r="F172" s="9" t="n">
        <v>87263</v>
      </c>
      <c r="G172" s="7" t="n">
        <v>18</v>
      </c>
      <c r="H172" s="7" t="str">
        <f aca="false">IF(B172&gt;=Assumptions!$B$5,"High Spenders",IF(E172&gt;=Assumptions!$B$6,"Frequent Users",IF(C172&lt;=Assumptions!$B$7,"Low Activity","Mid-Tier")))</f>
        <v>Mid-Tier</v>
      </c>
    </row>
    <row r="173" customFormat="false" ht="15" hidden="false" customHeight="false" outlineLevel="0" collapsed="false">
      <c r="A173" s="7" t="s">
        <v>462</v>
      </c>
      <c r="B173" s="9" t="n">
        <v>41238</v>
      </c>
      <c r="C173" s="7" t="n">
        <v>29</v>
      </c>
      <c r="D173" s="9" t="n">
        <f aca="false">B173/C173</f>
        <v>1422</v>
      </c>
      <c r="E173" s="7" t="n">
        <v>24</v>
      </c>
      <c r="F173" s="9" t="n">
        <v>95756</v>
      </c>
      <c r="G173" s="7" t="n">
        <v>19</v>
      </c>
      <c r="H173" s="7" t="str">
        <f aca="false">IF(B173&gt;=Assumptions!$B$5,"High Spenders",IF(E173&gt;=Assumptions!$B$6,"Frequent Users",IF(C173&lt;=Assumptions!$B$7,"Low Activity","Mid-Tier")))</f>
        <v>High Spenders</v>
      </c>
    </row>
    <row r="174" customFormat="false" ht="15" hidden="false" customHeight="false" outlineLevel="0" collapsed="false">
      <c r="A174" s="7" t="s">
        <v>463</v>
      </c>
      <c r="B174" s="9" t="n">
        <v>25650</v>
      </c>
      <c r="C174" s="7" t="n">
        <v>45</v>
      </c>
      <c r="D174" s="9" t="n">
        <f aca="false">B174/C174</f>
        <v>570</v>
      </c>
      <c r="E174" s="7" t="n">
        <v>17</v>
      </c>
      <c r="F174" s="9" t="n">
        <v>60461</v>
      </c>
      <c r="G174" s="7" t="n">
        <v>22</v>
      </c>
      <c r="H174" s="7" t="str">
        <f aca="false">IF(B174&gt;=Assumptions!$B$5,"High Spenders",IF(E174&gt;=Assumptions!$B$6,"Frequent Users",IF(C174&lt;=Assumptions!$B$7,"Low Activity","Mid-Tier")))</f>
        <v>Mid-Tier</v>
      </c>
    </row>
    <row r="175" customFormat="false" ht="15" hidden="false" customHeight="false" outlineLevel="0" collapsed="false">
      <c r="A175" s="7" t="s">
        <v>464</v>
      </c>
      <c r="B175" s="9" t="n">
        <v>34893</v>
      </c>
      <c r="C175" s="7" t="n">
        <v>34</v>
      </c>
      <c r="D175" s="9" t="n">
        <f aca="false">B175/C175</f>
        <v>1026.26470588235</v>
      </c>
      <c r="E175" s="7" t="n">
        <v>4</v>
      </c>
      <c r="F175" s="9" t="n">
        <v>75418</v>
      </c>
      <c r="G175" s="7" t="n">
        <v>32</v>
      </c>
      <c r="H175" s="7" t="str">
        <f aca="false">IF(B175&gt;=Assumptions!$B$5,"High Spenders",IF(E175&gt;=Assumptions!$B$6,"Frequent Users",IF(C175&lt;=Assumptions!$B$7,"Low Activity","Mid-Tier")))</f>
        <v>Mid-Tier</v>
      </c>
    </row>
    <row r="176" customFormat="false" ht="15" hidden="false" customHeight="false" outlineLevel="0" collapsed="false">
      <c r="A176" s="7" t="s">
        <v>465</v>
      </c>
      <c r="B176" s="9" t="n">
        <v>43582</v>
      </c>
      <c r="C176" s="7" t="n">
        <v>23</v>
      </c>
      <c r="D176" s="9" t="n">
        <f aca="false">B176/C176</f>
        <v>1894.86956521739</v>
      </c>
      <c r="E176" s="7" t="n">
        <v>29</v>
      </c>
      <c r="F176" s="9" t="n">
        <v>66672</v>
      </c>
      <c r="G176" s="7" t="n">
        <v>3</v>
      </c>
      <c r="H176" s="7" t="str">
        <f aca="false">IF(B176&gt;=Assumptions!$B$5,"High Spenders",IF(E176&gt;=Assumptions!$B$6,"Frequent Users",IF(C176&lt;=Assumptions!$B$7,"Low Activity","Mid-Tier")))</f>
        <v>High Spenders</v>
      </c>
    </row>
    <row r="177" customFormat="false" ht="15" hidden="false" customHeight="false" outlineLevel="0" collapsed="false">
      <c r="A177" s="7" t="s">
        <v>466</v>
      </c>
      <c r="B177" s="9" t="n">
        <v>8473</v>
      </c>
      <c r="C177" s="7" t="n">
        <v>37</v>
      </c>
      <c r="D177" s="9" t="n">
        <f aca="false">B177/C177</f>
        <v>229</v>
      </c>
      <c r="E177" s="7" t="n">
        <v>22</v>
      </c>
      <c r="F177" s="9" t="n">
        <v>34832</v>
      </c>
      <c r="G177" s="7" t="n">
        <v>28</v>
      </c>
      <c r="H177" s="7" t="str">
        <f aca="false">IF(B177&gt;=Assumptions!$B$5,"High Spenders",IF(E177&gt;=Assumptions!$B$6,"Frequent Users",IF(C177&lt;=Assumptions!$B$7,"Low Activity","Mid-Tier")))</f>
        <v>Mid-Tier</v>
      </c>
    </row>
    <row r="178" customFormat="false" ht="15" hidden="false" customHeight="false" outlineLevel="0" collapsed="false">
      <c r="A178" s="7" t="s">
        <v>467</v>
      </c>
      <c r="B178" s="9" t="n">
        <v>9077</v>
      </c>
      <c r="C178" s="7" t="n">
        <v>11</v>
      </c>
      <c r="D178" s="9" t="n">
        <f aca="false">B178/C178</f>
        <v>825.181818181818</v>
      </c>
      <c r="E178" s="7" t="n">
        <v>25</v>
      </c>
      <c r="F178" s="9" t="n">
        <v>31966</v>
      </c>
      <c r="G178" s="7" t="n">
        <v>10</v>
      </c>
      <c r="H178" s="7" t="str">
        <f aca="false">IF(B178&gt;=Assumptions!$B$5,"High Spenders",IF(E178&gt;=Assumptions!$B$6,"Frequent Users",IF(C178&lt;=Assumptions!$B$7,"Low Activity","Mid-Tier")))</f>
        <v>Frequent Users</v>
      </c>
    </row>
    <row r="179" customFormat="false" ht="15" hidden="false" customHeight="false" outlineLevel="0" collapsed="false">
      <c r="A179" s="7" t="s">
        <v>468</v>
      </c>
      <c r="B179" s="9" t="n">
        <v>8570</v>
      </c>
      <c r="C179" s="7" t="n">
        <v>6</v>
      </c>
      <c r="D179" s="9" t="n">
        <f aca="false">B179/C179</f>
        <v>1428.33333333333</v>
      </c>
      <c r="E179" s="7" t="n">
        <v>13</v>
      </c>
      <c r="F179" s="9" t="n">
        <v>72545</v>
      </c>
      <c r="G179" s="7" t="n">
        <v>35</v>
      </c>
      <c r="H179" s="7" t="str">
        <f aca="false">IF(B179&gt;=Assumptions!$B$5,"High Spenders",IF(E179&gt;=Assumptions!$B$6,"Frequent Users",IF(C179&lt;=Assumptions!$B$7,"Low Activity","Mid-Tier")))</f>
        <v>Low Activity</v>
      </c>
    </row>
    <row r="180" customFormat="false" ht="15" hidden="false" customHeight="false" outlineLevel="0" collapsed="false">
      <c r="A180" s="7" t="s">
        <v>469</v>
      </c>
      <c r="B180" s="9" t="n">
        <v>9166</v>
      </c>
      <c r="C180" s="7" t="n">
        <v>18</v>
      </c>
      <c r="D180" s="9" t="n">
        <f aca="false">B180/C180</f>
        <v>509.222222222222</v>
      </c>
      <c r="E180" s="7" t="n">
        <v>18</v>
      </c>
      <c r="F180" s="9" t="n">
        <v>12987</v>
      </c>
      <c r="G180" s="7" t="n">
        <v>29</v>
      </c>
      <c r="H180" s="7" t="str">
        <f aca="false">IF(B180&gt;=Assumptions!$B$5,"High Spenders",IF(E180&gt;=Assumptions!$B$6,"Frequent Users",IF(C180&lt;=Assumptions!$B$7,"Low Activity","Mid-Tier")))</f>
        <v>Mid-Tier</v>
      </c>
    </row>
    <row r="181" customFormat="false" ht="15" hidden="false" customHeight="false" outlineLevel="0" collapsed="false">
      <c r="A181" s="7" t="s">
        <v>470</v>
      </c>
      <c r="B181" s="9" t="n">
        <v>36868</v>
      </c>
      <c r="C181" s="7" t="n">
        <v>21</v>
      </c>
      <c r="D181" s="9" t="n">
        <f aca="false">B181/C181</f>
        <v>1755.61904761905</v>
      </c>
      <c r="E181" s="7" t="n">
        <v>1</v>
      </c>
      <c r="F181" s="9" t="n">
        <v>37311</v>
      </c>
      <c r="G181" s="7" t="n">
        <v>15</v>
      </c>
      <c r="H181" s="7" t="str">
        <f aca="false">IF(B181&gt;=Assumptions!$B$5,"High Spenders",IF(E181&gt;=Assumptions!$B$6,"Frequent Users",IF(C181&lt;=Assumptions!$B$7,"Low Activity","Mid-Tier")))</f>
        <v>High Spenders</v>
      </c>
    </row>
    <row r="182" customFormat="false" ht="15" hidden="false" customHeight="false" outlineLevel="0" collapsed="false">
      <c r="A182" s="7" t="s">
        <v>471</v>
      </c>
      <c r="B182" s="9" t="n">
        <v>7283</v>
      </c>
      <c r="C182" s="7" t="n">
        <v>42</v>
      </c>
      <c r="D182" s="9" t="n">
        <f aca="false">B182/C182</f>
        <v>173.404761904762</v>
      </c>
      <c r="E182" s="7" t="n">
        <v>16</v>
      </c>
      <c r="F182" s="9" t="n">
        <v>31575</v>
      </c>
      <c r="G182" s="7" t="n">
        <v>33</v>
      </c>
      <c r="H182" s="7" t="str">
        <f aca="false">IF(B182&gt;=Assumptions!$B$5,"High Spenders",IF(E182&gt;=Assumptions!$B$6,"Frequent Users",IF(C182&lt;=Assumptions!$B$7,"Low Activity","Mid-Tier")))</f>
        <v>Mid-Tier</v>
      </c>
    </row>
    <row r="183" customFormat="false" ht="15" hidden="false" customHeight="false" outlineLevel="0" collapsed="false">
      <c r="A183" s="7" t="s">
        <v>472</v>
      </c>
      <c r="B183" s="9" t="n">
        <v>46494</v>
      </c>
      <c r="C183" s="7" t="n">
        <v>36</v>
      </c>
      <c r="D183" s="9" t="n">
        <f aca="false">B183/C183</f>
        <v>1291.5</v>
      </c>
      <c r="E183" s="7" t="n">
        <v>13</v>
      </c>
      <c r="F183" s="9" t="n">
        <v>63852</v>
      </c>
      <c r="G183" s="7" t="n">
        <v>7</v>
      </c>
      <c r="H183" s="7" t="str">
        <f aca="false">IF(B183&gt;=Assumptions!$B$5,"High Spenders",IF(E183&gt;=Assumptions!$B$6,"Frequent Users",IF(C183&lt;=Assumptions!$B$7,"Low Activity","Mid-Tier")))</f>
        <v>High Spenders</v>
      </c>
    </row>
    <row r="184" customFormat="false" ht="15" hidden="false" customHeight="false" outlineLevel="0" collapsed="false">
      <c r="A184" s="7" t="s">
        <v>473</v>
      </c>
      <c r="B184" s="9" t="n">
        <v>42414</v>
      </c>
      <c r="C184" s="7" t="n">
        <v>41</v>
      </c>
      <c r="D184" s="9" t="n">
        <f aca="false">B184/C184</f>
        <v>1034.48780487805</v>
      </c>
      <c r="E184" s="7" t="n">
        <v>10</v>
      </c>
      <c r="F184" s="9" t="n">
        <v>1007</v>
      </c>
      <c r="G184" s="7" t="n">
        <v>12</v>
      </c>
      <c r="H184" s="7" t="str">
        <f aca="false">IF(B184&gt;=Assumptions!$B$5,"High Spenders",IF(E184&gt;=Assumptions!$B$6,"Frequent Users",IF(C184&lt;=Assumptions!$B$7,"Low Activity","Mid-Tier")))</f>
        <v>High Spenders</v>
      </c>
    </row>
    <row r="185" customFormat="false" ht="15" hidden="false" customHeight="false" outlineLevel="0" collapsed="false">
      <c r="A185" s="7" t="s">
        <v>474</v>
      </c>
      <c r="B185" s="9" t="n">
        <v>5471</v>
      </c>
      <c r="C185" s="7" t="n">
        <v>38</v>
      </c>
      <c r="D185" s="9" t="n">
        <f aca="false">B185/C185</f>
        <v>143.973684210526</v>
      </c>
      <c r="E185" s="7" t="n">
        <v>12</v>
      </c>
      <c r="F185" s="9" t="n">
        <v>70981</v>
      </c>
      <c r="G185" s="7" t="n">
        <v>30</v>
      </c>
      <c r="H185" s="7" t="str">
        <f aca="false">IF(B185&gt;=Assumptions!$B$5,"High Spenders",IF(E185&gt;=Assumptions!$B$6,"Frequent Users",IF(C185&lt;=Assumptions!$B$7,"Low Activity","Mid-Tier")))</f>
        <v>Mid-Tier</v>
      </c>
    </row>
    <row r="186" customFormat="false" ht="15" hidden="false" customHeight="false" outlineLevel="0" collapsed="false">
      <c r="A186" s="7" t="s">
        <v>475</v>
      </c>
      <c r="B186" s="9" t="n">
        <v>13990</v>
      </c>
      <c r="C186" s="7" t="n">
        <v>34</v>
      </c>
      <c r="D186" s="9" t="n">
        <f aca="false">B186/C186</f>
        <v>411.470588235294</v>
      </c>
      <c r="E186" s="7" t="n">
        <v>2</v>
      </c>
      <c r="F186" s="9" t="n">
        <v>76242</v>
      </c>
      <c r="G186" s="7" t="n">
        <v>21</v>
      </c>
      <c r="H186" s="7" t="str">
        <f aca="false">IF(B186&gt;=Assumptions!$B$5,"High Spenders",IF(E186&gt;=Assumptions!$B$6,"Frequent Users",IF(C186&lt;=Assumptions!$B$7,"Low Activity","Mid-Tier")))</f>
        <v>Mid-Tier</v>
      </c>
    </row>
    <row r="187" customFormat="false" ht="15" hidden="false" customHeight="false" outlineLevel="0" collapsed="false">
      <c r="A187" s="7" t="s">
        <v>476</v>
      </c>
      <c r="B187" s="9" t="n">
        <v>46219</v>
      </c>
      <c r="C187" s="7" t="n">
        <v>17</v>
      </c>
      <c r="D187" s="9" t="n">
        <f aca="false">B187/C187</f>
        <v>2718.76470588235</v>
      </c>
      <c r="E187" s="7" t="n">
        <v>23</v>
      </c>
      <c r="F187" s="9" t="n">
        <v>47517</v>
      </c>
      <c r="G187" s="7" t="n">
        <v>31</v>
      </c>
      <c r="H187" s="7" t="str">
        <f aca="false">IF(B187&gt;=Assumptions!$B$5,"High Spenders",IF(E187&gt;=Assumptions!$B$6,"Frequent Users",IF(C187&lt;=Assumptions!$B$7,"Low Activity","Mid-Tier")))</f>
        <v>High Spenders</v>
      </c>
    </row>
    <row r="188" customFormat="false" ht="15" hidden="false" customHeight="false" outlineLevel="0" collapsed="false">
      <c r="A188" s="7" t="s">
        <v>477</v>
      </c>
      <c r="B188" s="9" t="n">
        <v>45580</v>
      </c>
      <c r="C188" s="7" t="n">
        <v>37</v>
      </c>
      <c r="D188" s="9" t="n">
        <f aca="false">B188/C188</f>
        <v>1231.89189189189</v>
      </c>
      <c r="E188" s="7" t="n">
        <v>3</v>
      </c>
      <c r="F188" s="9" t="n">
        <v>29257</v>
      </c>
      <c r="G188" s="7" t="n">
        <v>24</v>
      </c>
      <c r="H188" s="7" t="str">
        <f aca="false">IF(B188&gt;=Assumptions!$B$5,"High Spenders",IF(E188&gt;=Assumptions!$B$6,"Frequent Users",IF(C188&lt;=Assumptions!$B$7,"Low Activity","Mid-Tier")))</f>
        <v>High Spenders</v>
      </c>
    </row>
    <row r="189" customFormat="false" ht="15" hidden="false" customHeight="false" outlineLevel="0" collapsed="false">
      <c r="A189" s="7" t="s">
        <v>478</v>
      </c>
      <c r="B189" s="9" t="n">
        <v>2490</v>
      </c>
      <c r="C189" s="7" t="n">
        <v>25</v>
      </c>
      <c r="D189" s="9" t="n">
        <f aca="false">B189/C189</f>
        <v>99.6</v>
      </c>
      <c r="E189" s="7" t="n">
        <v>10</v>
      </c>
      <c r="F189" s="9" t="n">
        <v>87272</v>
      </c>
      <c r="G189" s="7" t="n">
        <v>20</v>
      </c>
      <c r="H189" s="7" t="str">
        <f aca="false">IF(B189&gt;=Assumptions!$B$5,"High Spenders",IF(E189&gt;=Assumptions!$B$6,"Frequent Users",IF(C189&lt;=Assumptions!$B$7,"Low Activity","Mid-Tier")))</f>
        <v>Mid-Tier</v>
      </c>
    </row>
    <row r="190" customFormat="false" ht="15" hidden="false" customHeight="false" outlineLevel="0" collapsed="false">
      <c r="A190" s="7" t="s">
        <v>479</v>
      </c>
      <c r="B190" s="9" t="n">
        <v>5799</v>
      </c>
      <c r="C190" s="7" t="n">
        <v>38</v>
      </c>
      <c r="D190" s="9" t="n">
        <f aca="false">B190/C190</f>
        <v>152.605263157895</v>
      </c>
      <c r="E190" s="7" t="n">
        <v>2</v>
      </c>
      <c r="F190" s="9" t="n">
        <v>42207</v>
      </c>
      <c r="G190" s="7" t="n">
        <v>4</v>
      </c>
      <c r="H190" s="7" t="str">
        <f aca="false">IF(B190&gt;=Assumptions!$B$5,"High Spenders",IF(E190&gt;=Assumptions!$B$6,"Frequent Users",IF(C190&lt;=Assumptions!$B$7,"Low Activity","Mid-Tier")))</f>
        <v>Mid-Tier</v>
      </c>
    </row>
    <row r="191" customFormat="false" ht="15" hidden="false" customHeight="false" outlineLevel="0" collapsed="false">
      <c r="A191" s="7" t="s">
        <v>480</v>
      </c>
      <c r="B191" s="9" t="n">
        <v>46265</v>
      </c>
      <c r="C191" s="7" t="n">
        <v>58</v>
      </c>
      <c r="D191" s="9" t="n">
        <f aca="false">B191/C191</f>
        <v>797.672413793104</v>
      </c>
      <c r="E191" s="7" t="n">
        <v>27</v>
      </c>
      <c r="F191" s="9" t="n">
        <v>13281</v>
      </c>
      <c r="G191" s="7" t="n">
        <v>28</v>
      </c>
      <c r="H191" s="7" t="str">
        <f aca="false">IF(B191&gt;=Assumptions!$B$5,"High Spenders",IF(E191&gt;=Assumptions!$B$6,"Frequent Users",IF(C191&lt;=Assumptions!$B$7,"Low Activity","Mid-Tier")))</f>
        <v>High Spenders</v>
      </c>
    </row>
    <row r="192" customFormat="false" ht="15" hidden="false" customHeight="false" outlineLevel="0" collapsed="false">
      <c r="A192" s="7" t="s">
        <v>481</v>
      </c>
      <c r="B192" s="9" t="n">
        <v>20456</v>
      </c>
      <c r="C192" s="7" t="n">
        <v>12</v>
      </c>
      <c r="D192" s="9" t="n">
        <f aca="false">B192/C192</f>
        <v>1704.66666666667</v>
      </c>
      <c r="E192" s="7" t="n">
        <v>23</v>
      </c>
      <c r="F192" s="9" t="n">
        <v>61246</v>
      </c>
      <c r="G192" s="7" t="n">
        <v>20</v>
      </c>
      <c r="H192" s="7" t="str">
        <f aca="false">IF(B192&gt;=Assumptions!$B$5,"High Spenders",IF(E192&gt;=Assumptions!$B$6,"Frequent Users",IF(C192&lt;=Assumptions!$B$7,"Low Activity","Mid-Tier")))</f>
        <v>Frequent Users</v>
      </c>
    </row>
    <row r="193" customFormat="false" ht="15" hidden="false" customHeight="false" outlineLevel="0" collapsed="false">
      <c r="A193" s="7" t="s">
        <v>482</v>
      </c>
      <c r="B193" s="9" t="n">
        <v>22859</v>
      </c>
      <c r="C193" s="7" t="n">
        <v>23</v>
      </c>
      <c r="D193" s="9" t="n">
        <f aca="false">B193/C193</f>
        <v>993.869565217391</v>
      </c>
      <c r="E193" s="7" t="n">
        <v>13</v>
      </c>
      <c r="F193" s="9" t="n">
        <v>1435</v>
      </c>
      <c r="G193" s="7" t="n">
        <v>24</v>
      </c>
      <c r="H193" s="7" t="str">
        <f aca="false">IF(B193&gt;=Assumptions!$B$5,"High Spenders",IF(E193&gt;=Assumptions!$B$6,"Frequent Users",IF(C193&lt;=Assumptions!$B$7,"Low Activity","Mid-Tier")))</f>
        <v>Mid-Tier</v>
      </c>
    </row>
    <row r="194" customFormat="false" ht="15" hidden="false" customHeight="false" outlineLevel="0" collapsed="false">
      <c r="A194" s="7" t="s">
        <v>483</v>
      </c>
      <c r="B194" s="9" t="n">
        <v>46740</v>
      </c>
      <c r="C194" s="7" t="n">
        <v>53</v>
      </c>
      <c r="D194" s="9" t="n">
        <f aca="false">B194/C194</f>
        <v>881.88679245283</v>
      </c>
      <c r="E194" s="7" t="n">
        <v>13</v>
      </c>
      <c r="F194" s="9" t="n">
        <v>98875</v>
      </c>
      <c r="G194" s="7" t="n">
        <v>32</v>
      </c>
      <c r="H194" s="7" t="str">
        <f aca="false">IF(B194&gt;=Assumptions!$B$5,"High Spenders",IF(E194&gt;=Assumptions!$B$6,"Frequent Users",IF(C194&lt;=Assumptions!$B$7,"Low Activity","Mid-Tier")))</f>
        <v>High Spenders</v>
      </c>
    </row>
    <row r="195" customFormat="false" ht="15" hidden="false" customHeight="false" outlineLevel="0" collapsed="false">
      <c r="A195" s="7" t="s">
        <v>484</v>
      </c>
      <c r="B195" s="9" t="n">
        <v>37648</v>
      </c>
      <c r="C195" s="7" t="n">
        <v>42</v>
      </c>
      <c r="D195" s="9" t="n">
        <f aca="false">B195/C195</f>
        <v>896.380952380952</v>
      </c>
      <c r="E195" s="7" t="n">
        <v>18</v>
      </c>
      <c r="F195" s="9" t="n">
        <v>91357</v>
      </c>
      <c r="G195" s="7" t="n">
        <v>34</v>
      </c>
      <c r="H195" s="7" t="str">
        <f aca="false">IF(B195&gt;=Assumptions!$B$5,"High Spenders",IF(E195&gt;=Assumptions!$B$6,"Frequent Users",IF(C195&lt;=Assumptions!$B$7,"Low Activity","Mid-Tier")))</f>
        <v>High Spenders</v>
      </c>
    </row>
    <row r="196" customFormat="false" ht="15" hidden="false" customHeight="false" outlineLevel="0" collapsed="false">
      <c r="A196" s="7" t="s">
        <v>485</v>
      </c>
      <c r="B196" s="9" t="n">
        <v>29234</v>
      </c>
      <c r="C196" s="7" t="n">
        <v>22</v>
      </c>
      <c r="D196" s="9" t="n">
        <f aca="false">B196/C196</f>
        <v>1328.81818181818</v>
      </c>
      <c r="E196" s="7" t="n">
        <v>3</v>
      </c>
      <c r="F196" s="9" t="n">
        <v>26660</v>
      </c>
      <c r="G196" s="7" t="n">
        <v>2</v>
      </c>
      <c r="H196" s="7" t="str">
        <f aca="false">IF(B196&gt;=Assumptions!$B$5,"High Spenders",IF(E196&gt;=Assumptions!$B$6,"Frequent Users",IF(C196&lt;=Assumptions!$B$7,"Low Activity","Mid-Tier")))</f>
        <v>Mid-Tier</v>
      </c>
    </row>
    <row r="197" customFormat="false" ht="15" hidden="false" customHeight="false" outlineLevel="0" collapsed="false">
      <c r="A197" s="7" t="s">
        <v>486</v>
      </c>
      <c r="B197" s="9" t="n">
        <v>5257</v>
      </c>
      <c r="C197" s="7" t="n">
        <v>21</v>
      </c>
      <c r="D197" s="9" t="n">
        <f aca="false">B197/C197</f>
        <v>250.333333333333</v>
      </c>
      <c r="E197" s="7" t="n">
        <v>27</v>
      </c>
      <c r="F197" s="9" t="n">
        <v>5084</v>
      </c>
      <c r="G197" s="7" t="n">
        <v>15</v>
      </c>
      <c r="H197" s="7" t="str">
        <f aca="false">IF(B197&gt;=Assumptions!$B$5,"High Spenders",IF(E197&gt;=Assumptions!$B$6,"Frequent Users",IF(C197&lt;=Assumptions!$B$7,"Low Activity","Mid-Tier")))</f>
        <v>Frequent Users</v>
      </c>
    </row>
    <row r="198" customFormat="false" ht="15" hidden="false" customHeight="false" outlineLevel="0" collapsed="false">
      <c r="A198" s="7" t="s">
        <v>487</v>
      </c>
      <c r="B198" s="9" t="n">
        <v>19597</v>
      </c>
      <c r="C198" s="7" t="n">
        <v>27</v>
      </c>
      <c r="D198" s="9" t="n">
        <f aca="false">B198/C198</f>
        <v>725.814814814815</v>
      </c>
      <c r="E198" s="7" t="n">
        <v>7</v>
      </c>
      <c r="F198" s="9" t="n">
        <v>82197</v>
      </c>
      <c r="G198" s="7" t="n">
        <v>34</v>
      </c>
      <c r="H198" s="7" t="str">
        <f aca="false">IF(B198&gt;=Assumptions!$B$5,"High Spenders",IF(E198&gt;=Assumptions!$B$6,"Frequent Users",IF(C198&lt;=Assumptions!$B$7,"Low Activity","Mid-Tier")))</f>
        <v>Mid-Tier</v>
      </c>
    </row>
    <row r="199" customFormat="false" ht="15" hidden="false" customHeight="false" outlineLevel="0" collapsed="false">
      <c r="A199" s="7" t="s">
        <v>488</v>
      </c>
      <c r="B199" s="9" t="n">
        <v>10895</v>
      </c>
      <c r="C199" s="7" t="n">
        <v>57</v>
      </c>
      <c r="D199" s="9" t="n">
        <f aca="false">B199/C199</f>
        <v>191.140350877193</v>
      </c>
      <c r="E199" s="7" t="n">
        <v>14</v>
      </c>
      <c r="F199" s="9" t="n">
        <v>13507</v>
      </c>
      <c r="G199" s="7" t="n">
        <v>6</v>
      </c>
      <c r="H199" s="7" t="str">
        <f aca="false">IF(B199&gt;=Assumptions!$B$5,"High Spenders",IF(E199&gt;=Assumptions!$B$6,"Frequent Users",IF(C199&lt;=Assumptions!$B$7,"Low Activity","Mid-Tier")))</f>
        <v>Mid-Tier</v>
      </c>
    </row>
    <row r="200" customFormat="false" ht="15" hidden="false" customHeight="false" outlineLevel="0" collapsed="false">
      <c r="A200" s="7" t="s">
        <v>489</v>
      </c>
      <c r="B200" s="9" t="n">
        <v>16741</v>
      </c>
      <c r="C200" s="7" t="n">
        <v>31</v>
      </c>
      <c r="D200" s="9" t="n">
        <f aca="false">B200/C200</f>
        <v>540.032258064516</v>
      </c>
      <c r="E200" s="7" t="n">
        <v>20</v>
      </c>
      <c r="F200" s="9" t="n">
        <v>72595</v>
      </c>
      <c r="G200" s="7" t="n">
        <v>12</v>
      </c>
      <c r="H200" s="7" t="str">
        <f aca="false">IF(B200&gt;=Assumptions!$B$5,"High Spenders",IF(E200&gt;=Assumptions!$B$6,"Frequent Users",IF(C200&lt;=Assumptions!$B$7,"Low Activity","Mid-Tier")))</f>
        <v>Mid-Tier</v>
      </c>
    </row>
    <row r="201" customFormat="false" ht="15" hidden="false" customHeight="false" outlineLevel="0" collapsed="false">
      <c r="A201" s="7" t="s">
        <v>490</v>
      </c>
      <c r="B201" s="9" t="n">
        <v>38856</v>
      </c>
      <c r="C201" s="7" t="n">
        <v>6</v>
      </c>
      <c r="D201" s="9" t="n">
        <f aca="false">B201/C201</f>
        <v>6476</v>
      </c>
      <c r="E201" s="7" t="n">
        <v>29</v>
      </c>
      <c r="F201" s="9" t="n">
        <v>83807</v>
      </c>
      <c r="G201" s="7" t="n">
        <v>3</v>
      </c>
      <c r="H201" s="7" t="str">
        <f aca="false">IF(B201&gt;=Assumptions!$B$5,"High Spenders",IF(E201&gt;=Assumptions!$B$6,"Frequent Users",IF(C201&lt;=Assumptions!$B$7,"Low Activity","Mid-Tier")))</f>
        <v>High Spenders</v>
      </c>
    </row>
    <row r="202" customFormat="false" ht="15" hidden="false" customHeight="false" outlineLevel="0" collapsed="false">
      <c r="A202" s="7" t="s">
        <v>491</v>
      </c>
      <c r="B202" s="9" t="n">
        <v>28196</v>
      </c>
      <c r="C202" s="7" t="n">
        <v>27</v>
      </c>
      <c r="D202" s="9" t="n">
        <f aca="false">B202/C202</f>
        <v>1044.2962962963</v>
      </c>
      <c r="E202" s="7" t="n">
        <v>17</v>
      </c>
      <c r="F202" s="9" t="n">
        <v>45539</v>
      </c>
      <c r="G202" s="7" t="n">
        <v>18</v>
      </c>
      <c r="H202" s="7" t="str">
        <f aca="false">IF(B202&gt;=Assumptions!$B$5,"High Spenders",IF(E202&gt;=Assumptions!$B$6,"Frequent Users",IF(C202&lt;=Assumptions!$B$7,"Low Activity","Mid-Tier")))</f>
        <v>Mid-Tier</v>
      </c>
    </row>
    <row r="203" customFormat="false" ht="15" hidden="false" customHeight="false" outlineLevel="0" collapsed="false">
      <c r="A203" s="7" t="s">
        <v>492</v>
      </c>
      <c r="B203" s="9" t="n">
        <v>5444</v>
      </c>
      <c r="C203" s="7" t="n">
        <v>40</v>
      </c>
      <c r="D203" s="9" t="n">
        <f aca="false">B203/C203</f>
        <v>136.1</v>
      </c>
      <c r="E203" s="7" t="n">
        <v>29</v>
      </c>
      <c r="F203" s="9" t="n">
        <v>7491</v>
      </c>
      <c r="G203" s="7" t="n">
        <v>21</v>
      </c>
      <c r="H203" s="7" t="str">
        <f aca="false">IF(B203&gt;=Assumptions!$B$5,"High Spenders",IF(E203&gt;=Assumptions!$B$6,"Frequent Users",IF(C203&lt;=Assumptions!$B$7,"Low Activity","Mid-Tier")))</f>
        <v>Frequent Users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493</v>
      </c>
    </row>
    <row r="4" customFormat="false" ht="15" hidden="false" customHeight="false" outlineLevel="0" collapsed="false">
      <c r="A4" s="6" t="s">
        <v>13</v>
      </c>
      <c r="B4" s="6" t="s">
        <v>14</v>
      </c>
      <c r="C4" s="6" t="s">
        <v>16</v>
      </c>
      <c r="D4" s="6" t="s">
        <v>15</v>
      </c>
      <c r="E4" s="6" t="s">
        <v>494</v>
      </c>
      <c r="F4" s="6" t="s">
        <v>495</v>
      </c>
      <c r="G4" s="6" t="s">
        <v>496</v>
      </c>
      <c r="H4" s="6" t="s">
        <v>497</v>
      </c>
      <c r="I4" s="6" t="s">
        <v>498</v>
      </c>
    </row>
    <row r="5" customFormat="false" ht="15" hidden="false" customHeight="false" outlineLevel="0" collapsed="false">
      <c r="A5" s="7" t="s">
        <v>499</v>
      </c>
      <c r="B5" s="7" t="n">
        <f aca="false">COUNTIF('Segmentation Data'!$H$4:$H$203,A5)</f>
        <v>62</v>
      </c>
      <c r="C5" s="8" t="n">
        <f aca="false">B5/$B$9</f>
        <v>0.31</v>
      </c>
      <c r="D5" s="9" t="n">
        <f aca="false">AVERAGEIF('Segmentation Data'!$H$4:$H$203,$A5,'Segmentation Data'!$B$4:$B$203)</f>
        <v>41432.7580645161</v>
      </c>
      <c r="E5" s="9" t="n">
        <f aca="false">AVERAGEIF('Segmentation Data'!$H$4:$H$203,$A5,'Segmentation Data'!$C$4:$C$203)</f>
        <v>32.0161290322581</v>
      </c>
      <c r="F5" s="9" t="n">
        <f aca="false">AVERAGEIF('Segmentation Data'!$H$4:$H$203,$A5,'Segmentation Data'!$E$4:$E$203)</f>
        <v>17.2096774193548</v>
      </c>
      <c r="G5" s="9" t="n">
        <f aca="false">AVERAGEIF('Segmentation Data'!$H$4:$H$203,$A5,'Segmentation Data'!$F$4:$F$203)</f>
        <v>51319.435483871</v>
      </c>
      <c r="H5" s="8" t="n">
        <f aca="false">SUMIF('Segmentation Data'!$H$4:$H$203,A5,'Segmentation Data'!$B$4:$B$203)/SUM('Segmentation Data'!$B$4:$B$203)</f>
        <v>0.535616682565249</v>
      </c>
      <c r="I5" s="7" t="str">
        <f aca="false">IF(F5&lt;=10,"High",IF(F5&lt;=18,"Medium","Low"))</f>
        <v>Medium</v>
      </c>
    </row>
    <row r="6" customFormat="false" ht="15" hidden="false" customHeight="false" outlineLevel="0" collapsed="false">
      <c r="A6" s="7" t="s">
        <v>500</v>
      </c>
      <c r="B6" s="7" t="n">
        <f aca="false">COUNTIF('Segmentation Data'!$H$4:$H$203,A6)</f>
        <v>30</v>
      </c>
      <c r="C6" s="8" t="n">
        <f aca="false">B6/$B$9</f>
        <v>0.15</v>
      </c>
      <c r="D6" s="9" t="n">
        <f aca="false">AVERAGEIF('Segmentation Data'!$H$4:$H$203,$A6,'Segmentation Data'!$B$4:$B$203)</f>
        <v>18220.0666666667</v>
      </c>
      <c r="E6" s="9" t="n">
        <f aca="false">AVERAGEIF('Segmentation Data'!$H$4:$H$203,$A6,'Segmentation Data'!$C$4:$C$203)</f>
        <v>26.1</v>
      </c>
      <c r="F6" s="9" t="n">
        <f aca="false">AVERAGEIF('Segmentation Data'!$H$4:$H$203,$A6,'Segmentation Data'!$E$4:$E$203)</f>
        <v>25.9666666666667</v>
      </c>
      <c r="G6" s="9" t="n">
        <f aca="false">AVERAGEIF('Segmentation Data'!$H$4:$H$203,$A6,'Segmentation Data'!$F$4:$F$203)</f>
        <v>42937.5</v>
      </c>
      <c r="H6" s="8" t="n">
        <f aca="false">SUMIF('Segmentation Data'!$H$4:$H$203,A6,'Segmentation Data'!$B$4:$B$203)/SUM('Segmentation Data'!$B$4:$B$203)</f>
        <v>0.113969797905557</v>
      </c>
      <c r="I6" s="7" t="str">
        <f aca="false">IF(F6&lt;=10,"High",IF(F6&lt;=18,"Medium","Low"))</f>
        <v>Low</v>
      </c>
    </row>
    <row r="7" customFormat="false" ht="15" hidden="false" customHeight="false" outlineLevel="0" collapsed="false">
      <c r="A7" s="7" t="s">
        <v>501</v>
      </c>
      <c r="B7" s="7" t="n">
        <f aca="false">COUNTIF('Segmentation Data'!$H$4:$H$203,A7)</f>
        <v>18</v>
      </c>
      <c r="C7" s="8" t="n">
        <f aca="false">B7/$B$9</f>
        <v>0.09</v>
      </c>
      <c r="D7" s="9" t="n">
        <f aca="false">AVERAGEIF('Segmentation Data'!$H$4:$H$203,$A7,'Segmentation Data'!$B$4:$B$203)</f>
        <v>14148.1111111111</v>
      </c>
      <c r="E7" s="9" t="n">
        <f aca="false">AVERAGEIF('Segmentation Data'!$H$4:$H$203,$A7,'Segmentation Data'!$C$4:$C$203)</f>
        <v>4.72222222222222</v>
      </c>
      <c r="F7" s="9" t="n">
        <f aca="false">AVERAGEIF('Segmentation Data'!$H$4:$H$203,$A7,'Segmentation Data'!$E$4:$E$203)</f>
        <v>12.2777777777778</v>
      </c>
      <c r="G7" s="9" t="n">
        <f aca="false">AVERAGEIF('Segmentation Data'!$H$4:$H$203,$A7,'Segmentation Data'!$F$4:$F$203)</f>
        <v>54126.4444444444</v>
      </c>
      <c r="H7" s="8" t="n">
        <f aca="false">SUMIF('Segmentation Data'!$H$4:$H$203,A7,'Segmentation Data'!$B$4:$B$203)/SUM('Segmentation Data'!$B$4:$B$203)</f>
        <v>0.0530993895986781</v>
      </c>
      <c r="I7" s="7" t="str">
        <f aca="false">IF(F7&lt;=10,"High",IF(F7&lt;=18,"Medium","Low"))</f>
        <v>Medium</v>
      </c>
    </row>
    <row r="8" customFormat="false" ht="15" hidden="false" customHeight="false" outlineLevel="0" collapsed="false">
      <c r="A8" s="7" t="s">
        <v>502</v>
      </c>
      <c r="B8" s="7" t="n">
        <f aca="false">COUNTIF('Segmentation Data'!$H$4:$H$203,A8)</f>
        <v>90</v>
      </c>
      <c r="C8" s="8" t="n">
        <f aca="false">B8/$B$9</f>
        <v>0.45</v>
      </c>
      <c r="D8" s="9" t="n">
        <f aca="false">AVERAGEIF('Segmentation Data'!$H$4:$H$203,$A8,'Segmentation Data'!$B$4:$B$203)</f>
        <v>15843.6222222222</v>
      </c>
      <c r="E8" s="9" t="n">
        <f aca="false">AVERAGEIF('Segmentation Data'!$H$4:$H$203,$A8,'Segmentation Data'!$C$4:$C$203)</f>
        <v>35.2444444444445</v>
      </c>
      <c r="F8" s="9" t="n">
        <f aca="false">AVERAGEIF('Segmentation Data'!$H$4:$H$203,$A8,'Segmentation Data'!$E$4:$E$203)</f>
        <v>11.0666666666667</v>
      </c>
      <c r="G8" s="9" t="n">
        <f aca="false">AVERAGEIF('Segmentation Data'!$H$4:$H$203,$A8,'Segmentation Data'!$F$4:$F$203)</f>
        <v>51460.5444444444</v>
      </c>
      <c r="H8" s="8" t="n">
        <f aca="false">SUMIF('Segmentation Data'!$H$4:$H$203,A8,'Segmentation Data'!$B$4:$B$203)/SUM('Segmentation Data'!$B$4:$B$203)</f>
        <v>0.297314129930515</v>
      </c>
      <c r="I8" s="7" t="str">
        <f aca="false">IF(F8&lt;=10,"High",IF(F8&lt;=18,"Medium","Low"))</f>
        <v>Medium</v>
      </c>
    </row>
    <row r="9" customFormat="false" ht="15" hidden="false" customHeight="false" outlineLevel="0" collapsed="false">
      <c r="A9" s="21" t="s">
        <v>503</v>
      </c>
      <c r="B9" s="7" t="n">
        <f aca="false">SUM(B5:B8)</f>
        <v>200</v>
      </c>
      <c r="C9" s="8" t="n">
        <f aca="false">SUM(C5:C8)</f>
        <v>1</v>
      </c>
      <c r="H9" s="8" t="n">
        <f aca="false">SUM(H5:H8)</f>
        <v>1</v>
      </c>
    </row>
    <row r="11" customFormat="false" ht="15" hidden="false" customHeight="false" outlineLevel="0" collapsed="false">
      <c r="A11" s="16" t="s">
        <v>504</v>
      </c>
    </row>
    <row r="12" customFormat="false" ht="15" hidden="false" customHeight="false" outlineLevel="0" collapsed="false">
      <c r="A12" s="6" t="s">
        <v>505</v>
      </c>
      <c r="B12" s="6" t="s">
        <v>506</v>
      </c>
      <c r="C12" s="6" t="s">
        <v>507</v>
      </c>
    </row>
    <row r="13" customFormat="false" ht="15" hidden="false" customHeight="false" outlineLevel="0" collapsed="false">
      <c r="A13" s="7" t="n">
        <v>2</v>
      </c>
      <c r="B13" s="10" t="n">
        <v>0.162</v>
      </c>
      <c r="C13" s="9" t="n">
        <v>825</v>
      </c>
    </row>
    <row r="14" customFormat="false" ht="15" hidden="false" customHeight="false" outlineLevel="0" collapsed="false">
      <c r="A14" s="7" t="n">
        <v>3</v>
      </c>
      <c r="B14" s="10" t="n">
        <v>0.159</v>
      </c>
      <c r="C14" s="9" t="n">
        <v>721</v>
      </c>
    </row>
    <row r="15" customFormat="false" ht="15" hidden="false" customHeight="false" outlineLevel="0" collapsed="false">
      <c r="A15" s="7" t="n">
        <v>4</v>
      </c>
      <c r="B15" s="10" t="n">
        <v>0.161</v>
      </c>
      <c r="C15" s="9" t="n">
        <v>635</v>
      </c>
    </row>
    <row r="16" customFormat="false" ht="15" hidden="false" customHeight="false" outlineLevel="0" collapsed="false">
      <c r="A16" s="7" t="n">
        <v>5</v>
      </c>
      <c r="B16" s="10" t="n">
        <v>0.166</v>
      </c>
      <c r="C16" s="9" t="n">
        <v>570</v>
      </c>
    </row>
    <row r="17" customFormat="false" ht="15" hidden="false" customHeight="false" outlineLevel="0" collapsed="false">
      <c r="A17" s="7" t="n">
        <v>6</v>
      </c>
      <c r="B17" s="10" t="n">
        <v>0.173</v>
      </c>
      <c r="C17" s="9" t="n">
        <v>516</v>
      </c>
    </row>
    <row r="18" customFormat="false" ht="15" hidden="false" customHeight="false" outlineLevel="0" collapsed="false">
      <c r="A18" s="7" t="n">
        <v>7</v>
      </c>
      <c r="B18" s="10" t="n">
        <v>0.179</v>
      </c>
      <c r="C18" s="9" t="n">
        <v>479</v>
      </c>
    </row>
    <row r="19" customFormat="false" ht="15" hidden="false" customHeight="false" outlineLevel="0" collapsed="false">
      <c r="A19" s="7" t="n">
        <v>8</v>
      </c>
      <c r="B19" s="10" t="n">
        <v>0.187</v>
      </c>
      <c r="C19" s="9" t="n">
        <v>445</v>
      </c>
    </row>
    <row r="21" customFormat="false" ht="15" hidden="false" customHeight="false" outlineLevel="0" collapsed="false">
      <c r="A21" s="2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509</v>
      </c>
    </row>
    <row r="4" customFormat="false" ht="15" hidden="false" customHeight="false" outlineLevel="0" collapsed="false">
      <c r="A4" s="16" t="s">
        <v>510</v>
      </c>
    </row>
    <row r="5" customFormat="false" ht="15" hidden="false" customHeight="false" outlineLevel="0" collapsed="false">
      <c r="A5" s="6" t="s">
        <v>69</v>
      </c>
      <c r="B5" s="6" t="s">
        <v>511</v>
      </c>
      <c r="C5" s="6" t="s">
        <v>512</v>
      </c>
      <c r="D5" s="6" t="s">
        <v>513</v>
      </c>
    </row>
    <row r="6" customFormat="false" ht="15" hidden="false" customHeight="false" outlineLevel="0" collapsed="false">
      <c r="A6" s="7" t="s">
        <v>81</v>
      </c>
      <c r="B6" s="7" t="n">
        <f aca="false">COUNTIF('Credit Risk Data'!$E$4:$E$203,A6)</f>
        <v>80</v>
      </c>
      <c r="C6" s="7" t="n">
        <f aca="false">COUNTIFS('Credit Risk Data'!$E$4:$E$203,A6,'Credit Risk Data'!$H$4:$H$203,1)</f>
        <v>8</v>
      </c>
      <c r="D6" s="8" t="n">
        <f aca="false">C6/B6</f>
        <v>0.1</v>
      </c>
    </row>
    <row r="7" customFormat="false" ht="15" hidden="false" customHeight="false" outlineLevel="0" collapsed="false">
      <c r="A7" s="7" t="s">
        <v>86</v>
      </c>
      <c r="B7" s="7" t="n">
        <f aca="false">COUNTIF('Credit Risk Data'!$E$4:$E$203,A7)</f>
        <v>66</v>
      </c>
      <c r="C7" s="7" t="n">
        <f aca="false">COUNTIFS('Credit Risk Data'!$E$4:$E$203,A7,'Credit Risk Data'!$H$4:$H$203,1)</f>
        <v>21</v>
      </c>
      <c r="D7" s="8" t="n">
        <f aca="false">C7/B7</f>
        <v>0.318181818181818</v>
      </c>
    </row>
    <row r="8" customFormat="false" ht="15" hidden="false" customHeight="false" outlineLevel="0" collapsed="false">
      <c r="A8" s="7" t="s">
        <v>77</v>
      </c>
      <c r="B8" s="7" t="n">
        <f aca="false">COUNTIF('Credit Risk Data'!$E$4:$E$203,A8)</f>
        <v>54</v>
      </c>
      <c r="C8" s="7" t="n">
        <f aca="false">COUNTIFS('Credit Risk Data'!$E$4:$E$203,A8,'Credit Risk Data'!$H$4:$H$203,1)</f>
        <v>26</v>
      </c>
      <c r="D8" s="8" t="n">
        <f aca="false">C8/B8</f>
        <v>0.481481481481481</v>
      </c>
    </row>
    <row r="10" customFormat="false" ht="15" hidden="false" customHeight="false" outlineLevel="0" collapsed="false">
      <c r="A10" s="16" t="s">
        <v>514</v>
      </c>
    </row>
    <row r="11" customFormat="false" ht="15" hidden="false" customHeight="false" outlineLevel="0" collapsed="false">
      <c r="A11" s="6" t="s">
        <v>70</v>
      </c>
      <c r="B11" s="6" t="s">
        <v>511</v>
      </c>
      <c r="C11" s="6" t="s">
        <v>512</v>
      </c>
      <c r="D11" s="6" t="s">
        <v>513</v>
      </c>
    </row>
    <row r="12" customFormat="false" ht="15" hidden="false" customHeight="false" outlineLevel="0" collapsed="false">
      <c r="A12" s="7" t="s">
        <v>90</v>
      </c>
      <c r="B12" s="7" t="n">
        <f aca="false">COUNTIF('Credit Risk Data'!$F$4:$F$203,A12)</f>
        <v>61</v>
      </c>
      <c r="C12" s="7" t="n">
        <f aca="false">COUNTIFS('Credit Risk Data'!$F$4:$F$203,A12,'Credit Risk Data'!$H$4:$H$203,1)</f>
        <v>6</v>
      </c>
      <c r="D12" s="8" t="n">
        <f aca="false">C12/B12</f>
        <v>0.0983606557377049</v>
      </c>
    </row>
    <row r="13" customFormat="false" ht="15" hidden="false" customHeight="false" outlineLevel="0" collapsed="false">
      <c r="A13" s="7" t="s">
        <v>78</v>
      </c>
      <c r="B13" s="7" t="n">
        <f aca="false">COUNTIF('Credit Risk Data'!$F$4:$F$203,A13)</f>
        <v>70</v>
      </c>
      <c r="C13" s="7" t="n">
        <f aca="false">COUNTIFS('Credit Risk Data'!$F$4:$F$203,A13,'Credit Risk Data'!$H$4:$H$203,1)</f>
        <v>15</v>
      </c>
      <c r="D13" s="8" t="n">
        <f aca="false">C13/B13</f>
        <v>0.214285714285714</v>
      </c>
    </row>
    <row r="14" customFormat="false" ht="15" hidden="false" customHeight="false" outlineLevel="0" collapsed="false">
      <c r="A14" s="7" t="s">
        <v>82</v>
      </c>
      <c r="B14" s="7" t="n">
        <f aca="false">COUNTIF('Credit Risk Data'!$F$4:$F$203,A14)</f>
        <v>69</v>
      </c>
      <c r="C14" s="7" t="n">
        <f aca="false">COUNTIFS('Credit Risk Data'!$F$4:$F$203,A14,'Credit Risk Data'!$H$4:$H$203,1)</f>
        <v>34</v>
      </c>
      <c r="D14" s="8" t="n">
        <f aca="false">C14/B14</f>
        <v>0.492753623188406</v>
      </c>
    </row>
    <row r="16" customFormat="false" ht="15" hidden="false" customHeight="false" outlineLevel="0" collapsed="false">
      <c r="A16" s="16" t="s">
        <v>515</v>
      </c>
    </row>
    <row r="17" customFormat="false" ht="15" hidden="false" customHeight="false" outlineLevel="0" collapsed="false">
      <c r="A17" s="6" t="s">
        <v>516</v>
      </c>
      <c r="B17" s="6" t="s">
        <v>511</v>
      </c>
      <c r="C17" s="6" t="s">
        <v>512</v>
      </c>
      <c r="D17" s="6" t="s">
        <v>513</v>
      </c>
    </row>
    <row r="18" customFormat="false" ht="15" hidden="false" customHeight="false" outlineLevel="0" collapsed="false">
      <c r="A18" s="7" t="s">
        <v>517</v>
      </c>
      <c r="B18" s="7" t="n">
        <f aca="false">COUNTIFS('Credit Risk Data'!$C$4:$C$203,"&gt;=20000",'Credit Risk Data'!$C$4:$C$203,"&lt;30000")</f>
        <v>27</v>
      </c>
      <c r="C18" s="7" t="n">
        <f aca="false">COUNTIFS('Credit Risk Data'!$C$4:$C$203,"&gt;=20000",'Credit Risk Data'!$C$4:$C$203,"&lt;30000",'Credit Risk Data'!$H$4:$H$203,1)</f>
        <v>19</v>
      </c>
      <c r="D18" s="8" t="n">
        <f aca="false">C18/B18</f>
        <v>0.703703703703704</v>
      </c>
    </row>
    <row r="19" customFormat="false" ht="15" hidden="false" customHeight="false" outlineLevel="0" collapsed="false">
      <c r="A19" s="7" t="s">
        <v>518</v>
      </c>
      <c r="B19" s="7" t="n">
        <f aca="false">COUNTIFS('Credit Risk Data'!$C$4:$C$203,"&gt;=30000",'Credit Risk Data'!$C$4:$C$203,"&lt;45000")</f>
        <v>28</v>
      </c>
      <c r="C19" s="7" t="n">
        <f aca="false">COUNTIFS('Credit Risk Data'!$C$4:$C$203,"&gt;=30000",'Credit Risk Data'!$C$4:$C$203,"&lt;45000",'Credit Risk Data'!$H$4:$H$203,1)</f>
        <v>15</v>
      </c>
      <c r="D19" s="8" t="n">
        <f aca="false">C19/B19</f>
        <v>0.535714285714286</v>
      </c>
    </row>
    <row r="20" customFormat="false" ht="15" hidden="false" customHeight="false" outlineLevel="0" collapsed="false">
      <c r="A20" s="7" t="s">
        <v>519</v>
      </c>
      <c r="B20" s="7" t="n">
        <f aca="false">COUNTIFS('Credit Risk Data'!$C$4:$C$203,"&gt;=45000",'Credit Risk Data'!$C$4:$C$203,"&lt;60000")</f>
        <v>29</v>
      </c>
      <c r="C20" s="7" t="n">
        <f aca="false">COUNTIFS('Credit Risk Data'!$C$4:$C$203,"&gt;=45000",'Credit Risk Data'!$C$4:$C$203,"&lt;60000",'Credit Risk Data'!$H$4:$H$203,1)</f>
        <v>8</v>
      </c>
      <c r="D20" s="8" t="n">
        <f aca="false">C20/B20</f>
        <v>0.275862068965517</v>
      </c>
    </row>
    <row r="21" customFormat="false" ht="15" hidden="false" customHeight="false" outlineLevel="0" collapsed="false">
      <c r="A21" s="7" t="s">
        <v>520</v>
      </c>
      <c r="B21" s="7" t="n">
        <f aca="false">COUNTIFS('Credit Risk Data'!$C$4:$C$203,"&gt;=60000",'Credit Risk Data'!$C$4:$C$203,"&lt;80000")</f>
        <v>45</v>
      </c>
      <c r="C21" s="7" t="n">
        <f aca="false">COUNTIFS('Credit Risk Data'!$C$4:$C$203,"&gt;=60000",'Credit Risk Data'!$C$4:$C$203,"&lt;80000",'Credit Risk Data'!$H$4:$H$203,1)</f>
        <v>8</v>
      </c>
      <c r="D21" s="8" t="n">
        <f aca="false">C21/B21</f>
        <v>0.177777777777778</v>
      </c>
    </row>
    <row r="22" customFormat="false" ht="15" hidden="false" customHeight="false" outlineLevel="0" collapsed="false">
      <c r="A22" s="7" t="s">
        <v>521</v>
      </c>
      <c r="B22" s="7" t="n">
        <f aca="false">COUNTIFS('Credit Risk Data'!$C$4:$C$203,"&gt;=80000",'Credit Risk Data'!$C$4:$C$203,"&lt;1000000000")</f>
        <v>71</v>
      </c>
      <c r="C22" s="7" t="n">
        <f aca="false">COUNTIFS('Credit Risk Data'!$C$4:$C$203,"&gt;=80000",'Credit Risk Data'!$C$4:$C$203,"&lt;1000000000",'Credit Risk Data'!$H$4:$H$203,1)</f>
        <v>5</v>
      </c>
      <c r="D22" s="8" t="n">
        <f aca="false">C22/B22</f>
        <v>0.0704225352112676</v>
      </c>
    </row>
    <row r="24" customFormat="false" ht="15" hidden="false" customHeight="false" outlineLevel="0" collapsed="false">
      <c r="A24" s="16" t="s">
        <v>522</v>
      </c>
    </row>
    <row r="25" customFormat="false" ht="15" hidden="false" customHeight="false" outlineLevel="0" collapsed="false">
      <c r="A25" s="6" t="s">
        <v>523</v>
      </c>
      <c r="B25" s="6" t="s">
        <v>511</v>
      </c>
      <c r="C25" s="6" t="s">
        <v>512</v>
      </c>
      <c r="D25" s="6" t="s">
        <v>513</v>
      </c>
    </row>
    <row r="26" customFormat="false" ht="15" hidden="false" customHeight="false" outlineLevel="0" collapsed="false">
      <c r="A26" s="7" t="s">
        <v>524</v>
      </c>
      <c r="B26" s="7" t="n">
        <f aca="false">COUNTIFS('Credit Risk Data'!$G$4:$G$203,"&gt;=0",'Credit Risk Data'!$G$4:$G$203,"&lt;0.8")</f>
        <v>127</v>
      </c>
      <c r="C26" s="7" t="n">
        <f aca="false">COUNTIFS('Credit Risk Data'!$G$4:$G$203,"&gt;=0",'Credit Risk Data'!$G$4:$G$203,"&lt;0.8",'Credit Risk Data'!$H$4:$H$203,1)</f>
        <v>9</v>
      </c>
      <c r="D26" s="8" t="n">
        <f aca="false">C26/B26</f>
        <v>0.0708661417322835</v>
      </c>
    </row>
    <row r="27" customFormat="false" ht="15" hidden="false" customHeight="false" outlineLevel="0" collapsed="false">
      <c r="A27" s="7" t="s">
        <v>525</v>
      </c>
      <c r="B27" s="7" t="n">
        <f aca="false">COUNTIFS('Credit Risk Data'!$G$4:$G$203,"&gt;=0.8",'Credit Risk Data'!$G$4:$G$203,"&lt;1.5")</f>
        <v>46</v>
      </c>
      <c r="C27" s="7" t="n">
        <f aca="false">COUNTIFS('Credit Risk Data'!$G$4:$G$203,"&gt;=0.8",'Credit Risk Data'!$G$4:$G$203,"&lt;1.5",'Credit Risk Data'!$H$4:$H$203,1)</f>
        <v>19</v>
      </c>
      <c r="D27" s="8" t="n">
        <f aca="false">C27/B27</f>
        <v>0.41304347826087</v>
      </c>
    </row>
    <row r="28" customFormat="false" ht="15" hidden="false" customHeight="false" outlineLevel="0" collapsed="false">
      <c r="A28" s="7" t="s">
        <v>526</v>
      </c>
      <c r="B28" s="7" t="n">
        <f aca="false">COUNTIFS('Credit Risk Data'!$G$4:$G$203,"&gt;=1.5",'Credit Risk Data'!$G$4:$G$203,"&lt;2.0")</f>
        <v>12</v>
      </c>
      <c r="C28" s="7" t="n">
        <f aca="false">COUNTIFS('Credit Risk Data'!$G$4:$G$203,"&gt;=1.5",'Credit Risk Data'!$G$4:$G$203,"&lt;2.0",'Credit Risk Data'!$H$4:$H$203,1)</f>
        <v>12</v>
      </c>
      <c r="D28" s="8" t="n">
        <f aca="false">C28/B28</f>
        <v>1</v>
      </c>
    </row>
    <row r="29" customFormat="false" ht="15" hidden="false" customHeight="false" outlineLevel="0" collapsed="false">
      <c r="A29" s="7" t="s">
        <v>527</v>
      </c>
      <c r="B29" s="7" t="n">
        <f aca="false">COUNTIFS('Credit Risk Data'!$G$4:$G$203,"&gt;=2.0",'Credit Risk Data'!$G$4:$G$203,"&lt;99")</f>
        <v>15</v>
      </c>
      <c r="C29" s="7" t="n">
        <f aca="false">COUNTIFS('Credit Risk Data'!$G$4:$G$203,"&gt;=2.0",'Credit Risk Data'!$G$4:$G$203,"&lt;99",'Credit Risk Data'!$H$4:$H$203,1)</f>
        <v>15</v>
      </c>
      <c r="D29" s="8" t="n">
        <f aca="false">C29/B29</f>
        <v>1</v>
      </c>
    </row>
    <row r="31" customFormat="false" ht="15" hidden="false" customHeight="false" outlineLevel="0" collapsed="false">
      <c r="A31" s="16" t="s">
        <v>528</v>
      </c>
    </row>
    <row r="32" customFormat="false" ht="15" hidden="false" customHeight="false" outlineLevel="0" collapsed="false">
      <c r="A32" s="6" t="s">
        <v>529</v>
      </c>
      <c r="B32" s="6" t="s">
        <v>530</v>
      </c>
    </row>
    <row r="33" customFormat="false" ht="15" hidden="false" customHeight="false" outlineLevel="0" collapsed="false">
      <c r="A33" s="7" t="s">
        <v>71</v>
      </c>
      <c r="B33" s="20" t="n">
        <v>0.35</v>
      </c>
    </row>
    <row r="34" customFormat="false" ht="15" hidden="false" customHeight="false" outlineLevel="0" collapsed="false">
      <c r="A34" s="7" t="s">
        <v>69</v>
      </c>
      <c r="B34" s="20" t="n">
        <v>0.35</v>
      </c>
    </row>
    <row r="35" customFormat="false" ht="15" hidden="false" customHeight="false" outlineLevel="0" collapsed="false">
      <c r="A35" s="7" t="s">
        <v>531</v>
      </c>
      <c r="B35" s="20" t="n">
        <v>0.23</v>
      </c>
    </row>
    <row r="36" customFormat="false" ht="15" hidden="false" customHeight="false" outlineLevel="0" collapsed="false">
      <c r="A36" s="7" t="s">
        <v>532</v>
      </c>
      <c r="B36" s="20" t="n">
        <v>0.05</v>
      </c>
    </row>
    <row r="37" customFormat="false" ht="15" hidden="false" customHeight="false" outlineLevel="0" collapsed="false">
      <c r="A37" s="7" t="s">
        <v>66</v>
      </c>
      <c r="B37" s="20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533</v>
      </c>
    </row>
    <row r="2" customFormat="false" ht="15" hidden="false" customHeight="false" outlineLevel="0" collapsed="false">
      <c r="A2" s="2" t="s">
        <v>534</v>
      </c>
    </row>
    <row r="4" customFormat="false" ht="15" hidden="false" customHeight="false" outlineLevel="0" collapsed="false">
      <c r="A4" s="6"/>
      <c r="B4" s="6" t="s">
        <v>535</v>
      </c>
      <c r="C4" s="6" t="s">
        <v>536</v>
      </c>
    </row>
    <row r="5" customFormat="false" ht="15" hidden="false" customHeight="false" outlineLevel="0" collapsed="false">
      <c r="A5" s="7" t="s">
        <v>537</v>
      </c>
      <c r="B5" s="7" t="n">
        <f aca="false">COUNTIFS('Credit Risk Data'!$K$4:$K$203,"Test",'Credit Risk Data'!$H$4:$H$203,0,'Credit Risk Data'!$J$4:$J$203,0)</f>
        <v>41</v>
      </c>
      <c r="C5" s="7" t="n">
        <f aca="false">COUNTIFS('Credit Risk Data'!$K$4:$K$203,"Test",'Credit Risk Data'!$H$4:$H$203,0,'Credit Risk Data'!$J$4:$J$203,1)</f>
        <v>3</v>
      </c>
    </row>
    <row r="6" customFormat="false" ht="15" hidden="false" customHeight="false" outlineLevel="0" collapsed="false">
      <c r="A6" s="7" t="s">
        <v>538</v>
      </c>
      <c r="B6" s="7" t="n">
        <f aca="false">COUNTIFS('Credit Risk Data'!$K$4:$K$203,"Test",'Credit Risk Data'!$H$4:$H$203,1,'Credit Risk Data'!$J$4:$J$203,0)</f>
        <v>1</v>
      </c>
      <c r="C6" s="7" t="n">
        <f aca="false">COUNTIFS('Credit Risk Data'!$K$4:$K$203,"Test",'Credit Risk Data'!$H$4:$H$203,1,'Credit Risk Data'!$J$4:$J$203,1)</f>
        <v>15</v>
      </c>
    </row>
    <row r="8" customFormat="false" ht="15" hidden="false" customHeight="false" outlineLevel="0" collapsed="false">
      <c r="A8" s="6" t="s">
        <v>53</v>
      </c>
      <c r="B8" s="6" t="s">
        <v>11</v>
      </c>
      <c r="C8" s="6" t="s">
        <v>539</v>
      </c>
    </row>
    <row r="9" customFormat="false" ht="15" hidden="false" customHeight="false" outlineLevel="0" collapsed="false">
      <c r="A9" s="7" t="s">
        <v>540</v>
      </c>
      <c r="B9" s="11" t="n">
        <f aca="false">SUM(B5:C6)</f>
        <v>60</v>
      </c>
      <c r="C9" s="7" t="s">
        <v>541</v>
      </c>
    </row>
    <row r="10" customFormat="false" ht="15" hidden="false" customHeight="false" outlineLevel="0" collapsed="false">
      <c r="A10" s="7" t="s">
        <v>17</v>
      </c>
      <c r="B10" s="8" t="n">
        <f aca="false">(B5+C6)/B9</f>
        <v>0.933333333333333</v>
      </c>
      <c r="C10" s="7" t="s">
        <v>542</v>
      </c>
    </row>
    <row r="11" customFormat="false" ht="15" hidden="false" customHeight="false" outlineLevel="0" collapsed="false">
      <c r="A11" s="7" t="s">
        <v>543</v>
      </c>
      <c r="B11" s="8" t="n">
        <f aca="false">C6/(C5+C6)</f>
        <v>0.833333333333333</v>
      </c>
      <c r="C11" s="7" t="s">
        <v>544</v>
      </c>
    </row>
    <row r="12" customFormat="false" ht="15" hidden="false" customHeight="false" outlineLevel="0" collapsed="false">
      <c r="A12" s="7" t="s">
        <v>545</v>
      </c>
      <c r="B12" s="8" t="n">
        <f aca="false">C6/(B6+C6)</f>
        <v>0.9375</v>
      </c>
      <c r="C12" s="7" t="s">
        <v>546</v>
      </c>
    </row>
    <row r="13" customFormat="false" ht="15" hidden="false" customHeight="false" outlineLevel="0" collapsed="false">
      <c r="A13" s="7" t="s">
        <v>547</v>
      </c>
      <c r="B13" s="10" t="n">
        <f aca="false">2*B11*B12/(B11+B12)</f>
        <v>0.882352941176471</v>
      </c>
      <c r="C13" s="7" t="s">
        <v>548</v>
      </c>
    </row>
    <row r="14" customFormat="false" ht="15" hidden="false" customHeight="false" outlineLevel="0" collapsed="false">
      <c r="A14" s="7" t="s">
        <v>23</v>
      </c>
      <c r="B14" s="22" t="n">
        <v>0.993</v>
      </c>
      <c r="C14" s="7" t="s">
        <v>549</v>
      </c>
    </row>
    <row r="16" customFormat="false" ht="15" hidden="false" customHeight="false" outlineLevel="0" collapsed="false">
      <c r="A16" s="16" t="s">
        <v>550</v>
      </c>
    </row>
    <row r="17" customFormat="false" ht="15" hidden="false" customHeight="false" outlineLevel="0" collapsed="false">
      <c r="A17" s="6" t="s">
        <v>551</v>
      </c>
      <c r="B17" s="6" t="s">
        <v>552</v>
      </c>
    </row>
    <row r="18" customFormat="false" ht="15" hidden="false" customHeight="false" outlineLevel="0" collapsed="false">
      <c r="A18" s="7" t="s">
        <v>553</v>
      </c>
      <c r="B18" s="23" t="n">
        <v>-7.21692</v>
      </c>
    </row>
    <row r="19" customFormat="false" ht="15" hidden="false" customHeight="false" outlineLevel="0" collapsed="false">
      <c r="A19" s="7" t="s">
        <v>554</v>
      </c>
      <c r="B19" s="23" t="n">
        <v>-0.01363</v>
      </c>
    </row>
    <row r="20" customFormat="false" ht="15" hidden="false" customHeight="false" outlineLevel="0" collapsed="false">
      <c r="A20" s="7" t="s">
        <v>555</v>
      </c>
      <c r="B20" s="23" t="n">
        <v>-0.01449</v>
      </c>
    </row>
    <row r="21" customFormat="false" ht="15" hidden="false" customHeight="false" outlineLevel="0" collapsed="false">
      <c r="A21" s="7" t="s">
        <v>556</v>
      </c>
      <c r="B21" s="23" t="n">
        <v>4.33046</v>
      </c>
    </row>
    <row r="22" customFormat="false" ht="15" hidden="false" customHeight="false" outlineLevel="0" collapsed="false">
      <c r="A22" s="7" t="s">
        <v>557</v>
      </c>
      <c r="B22" s="23" t="n">
        <v>4.03171</v>
      </c>
    </row>
    <row r="23" customFormat="false" ht="15" hidden="false" customHeight="false" outlineLevel="0" collapsed="false">
      <c r="A23" s="7" t="s">
        <v>558</v>
      </c>
      <c r="B23" s="23" t="n">
        <v>2.01926</v>
      </c>
    </row>
    <row r="24" customFormat="false" ht="15" hidden="false" customHeight="false" outlineLevel="0" collapsed="false">
      <c r="A24" s="7" t="s">
        <v>559</v>
      </c>
      <c r="B24" s="23" t="n">
        <v>3.58045</v>
      </c>
    </row>
    <row r="25" customFormat="false" ht="15" hidden="false" customHeight="false" outlineLevel="0" collapsed="false">
      <c r="A25" s="7" t="s">
        <v>560</v>
      </c>
      <c r="B25" s="23" t="n">
        <v>0.42489</v>
      </c>
    </row>
    <row r="27" customFormat="false" ht="15" hidden="false" customHeight="false" outlineLevel="0" collapsed="false">
      <c r="A27" s="2" t="s">
        <v>561</v>
      </c>
    </row>
    <row r="28" customFormat="false" ht="15" hidden="false" customHeight="false" outlineLevel="0" collapsed="false">
      <c r="A28" s="2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563</v>
      </c>
    </row>
    <row r="2" customFormat="false" ht="15" hidden="false" customHeight="false" outlineLevel="0" collapsed="false">
      <c r="A2" s="2" t="s">
        <v>564</v>
      </c>
    </row>
    <row r="3" customFormat="false" ht="15" hidden="false" customHeight="false" outlineLevel="0" collapsed="false">
      <c r="A3" s="6" t="s">
        <v>53</v>
      </c>
      <c r="B3" s="6" t="s">
        <v>11</v>
      </c>
    </row>
    <row r="4" customFormat="false" ht="15" hidden="false" customHeight="false" outlineLevel="0" collapsed="false">
      <c r="A4" s="7" t="s">
        <v>565</v>
      </c>
      <c r="B4" s="11" t="n">
        <f aca="false">COUNTA('Credit Risk Data'!A4:A203)</f>
        <v>200</v>
      </c>
    </row>
    <row r="5" customFormat="false" ht="15" hidden="false" customHeight="false" outlineLevel="0" collapsed="false">
      <c r="A5" s="7" t="s">
        <v>27</v>
      </c>
      <c r="B5" s="9" t="n">
        <f aca="false">SUM('Credit Risk Data'!D4:D203)</f>
        <v>8733027</v>
      </c>
    </row>
    <row r="6" customFormat="false" ht="15" hidden="false" customHeight="false" outlineLevel="0" collapsed="false">
      <c r="A6" s="7" t="s">
        <v>512</v>
      </c>
      <c r="B6" s="11" t="n">
        <f aca="false">SUM('Credit Risk Data'!H4:H203)</f>
        <v>55</v>
      </c>
    </row>
    <row r="7" customFormat="false" ht="15" hidden="false" customHeight="false" outlineLevel="0" collapsed="false">
      <c r="A7" s="7" t="s">
        <v>566</v>
      </c>
      <c r="B7" s="8" t="n">
        <f aca="false">B6/B4</f>
        <v>0.275</v>
      </c>
    </row>
    <row r="8" customFormat="false" ht="15" hidden="false" customHeight="false" outlineLevel="0" collapsed="false">
      <c r="A8" s="7" t="s">
        <v>567</v>
      </c>
      <c r="B8" s="9" t="n">
        <f aca="false">SUMIF('Credit Risk Data'!H4:H203,1,'Credit Risk Data'!D4:D203)</f>
        <v>3088982</v>
      </c>
    </row>
    <row r="9" customFormat="false" ht="15" hidden="false" customHeight="false" outlineLevel="0" collapsed="false">
      <c r="A9" s="7" t="s">
        <v>568</v>
      </c>
      <c r="B9" s="8" t="n">
        <f aca="false">B8/B5</f>
        <v>0.353712635950856</v>
      </c>
    </row>
    <row r="10" customFormat="false" ht="15" hidden="false" customHeight="false" outlineLevel="0" collapsed="false">
      <c r="A10" s="7" t="s">
        <v>569</v>
      </c>
      <c r="B10" s="9" t="n">
        <f aca="false">B5*Assumptions!B10</f>
        <v>1047963.24</v>
      </c>
    </row>
    <row r="11" customFormat="false" ht="15" hidden="false" customHeight="false" outlineLevel="0" collapsed="false">
      <c r="A11" s="7" t="s">
        <v>570</v>
      </c>
      <c r="B11" s="12" t="n">
        <f aca="false">B10-B8</f>
        <v>-2041018.76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2026-10-03T04:22:01Z</dcterms:created>
  <dc:creator>openpyxl</dc:creator>
  <dc:description/>
  <dc:language>en-US</dc:language>
  <cp:lastModifiedBy/>
  <dcterms:modified xsi:type="dcterms:W3CDTF">2026-10-03T04:22:04Z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